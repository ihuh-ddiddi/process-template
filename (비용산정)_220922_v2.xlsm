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heril\Documents\Pursuit\00. SOAR\SOAR Automation (202201)\SOAR Template\"/>
    </mc:Choice>
  </mc:AlternateContent>
  <bookViews>
    <workbookView xWindow="-110" yWindow="-110" windowWidth="19420" windowHeight="10420" tabRatio="927" activeTab="2"/>
  </bookViews>
  <sheets>
    <sheet name="Policy" sheetId="31" r:id="rId1"/>
    <sheet name="Deal info" sheetId="8" r:id="rId2"/>
    <sheet name="Cost simulation" sheetId="5" r:id="rId3"/>
    <sheet name="Resouces" sheetId="33" r:id="rId4"/>
    <sheet name="E3T Check" sheetId="15" r:id="rId5"/>
    <sheet name="|||" sheetId="24" r:id="rId6"/>
    <sheet name="Meta data" sheetId="6" r:id="rId7"/>
  </sheets>
  <functionGroups builtInGroupCount="18"/>
  <externalReferences>
    <externalReference r:id="rId8"/>
    <externalReference r:id="rId9"/>
  </externalReferences>
  <definedNames>
    <definedName name="_E3T.Customer">[1]E3T!$B$4</definedName>
    <definedName name="_E3T.EID">[1]E3T!$B$6</definedName>
    <definedName name="_E3T.ProjectName">[1]E3T!$B$5</definedName>
    <definedName name="APEID">#REF!</definedName>
    <definedName name="DA.Assumption">#REF!</definedName>
    <definedName name="DA.Requirement">#REF!</definedName>
    <definedName name="DE.GTM">#REF!</definedName>
    <definedName name="DE.SUB_DATE">#REF!</definedName>
    <definedName name="Del_EndDatefmt">[2]Deliverables!$AH$15:$AH$20</definedName>
    <definedName name="Del_StartDatefmt">[2]Deliverables!$AG$15:$AG$20</definedName>
    <definedName name="Delivery총합">#REF!</definedName>
    <definedName name="DENG.BACKGROUND">#REF!</definedName>
    <definedName name="DI.Assumption">'Deal info'!$B$28</definedName>
    <definedName name="DI.ClientPrincipal">'Deal info'!$E$17</definedName>
    <definedName name="DI.Customer">'Deal info'!$B$14</definedName>
    <definedName name="DI.E3TDuration">'Deal info'!$B$22</definedName>
    <definedName name="DI.ECO">'Deal info'!$E$20</definedName>
    <definedName name="DI.EID">'Deal info'!$B$5</definedName>
    <definedName name="DI.EndDate">'Deal info'!$E$11</definedName>
    <definedName name="DI.EXCHG_RATE">'Deal info'!$B$17</definedName>
    <definedName name="DI.FinanceLead">'Deal info'!$E$19</definedName>
    <definedName name="DI.LOB">'Deal info'!$B$24</definedName>
    <definedName name="DI.OPPID">'Deal info'!$B$16</definedName>
    <definedName name="DI.PL">'Deal info'!$B$11</definedName>
    <definedName name="DI.PreparedBy">'Deal info'!$E$16</definedName>
    <definedName name="DI.ProjectDuration">'Deal info'!$B$23</definedName>
    <definedName name="DI.ProjectManager">'Deal info'!$E$12</definedName>
    <definedName name="DI.ProjectName">'Deal info'!$E$4</definedName>
    <definedName name="DI.REQUIREMENT">'Deal info'!$B$26</definedName>
    <definedName name="DI.SalesManager">'Deal info'!$E$18</definedName>
    <definedName name="DI.StartDate">'Deal info'!$E$10</definedName>
    <definedName name="DI_FPSOW_TotalCost">#REF!</definedName>
    <definedName name="DI_HPLabor_TotalCost">#REF!</definedName>
    <definedName name="DI_Travel_TotalCost">#REF!</definedName>
    <definedName name="DO.Assumption">#REF!</definedName>
    <definedName name="DO.OnsiteHours">#REF!</definedName>
    <definedName name="DO.Requirement">#REF!</definedName>
    <definedName name="DO.ResourcesDescription">#REF!</definedName>
    <definedName name="DO.Schedule">#REF!</definedName>
    <definedName name="DO.Scope">#REF!</definedName>
    <definedName name="DO.Solution">#REF!</definedName>
    <definedName name="DO.Workscope">#REF!</definedName>
    <definedName name="E3T.3P_RATE">'E3T Check'!$B$24</definedName>
    <definedName name="E3T.3PPDT_RATE">'E3T Check'!$B$26</definedName>
    <definedName name="E3T.3PPDTREV">'E3T Check'!$B$20</definedName>
    <definedName name="E3T.3PPDTREV_USD">'E3T Check'!$B$21</definedName>
    <definedName name="E3T.3PREV">'E3T Check'!$B$16</definedName>
    <definedName name="E3T.3PREV_USD">'E3T Check'!$B$17</definedName>
    <definedName name="E3T.3PSVC_RATE">'E3T Check'!$B$25</definedName>
    <definedName name="E3T.3PSVCREV">'E3T Check'!$B$18</definedName>
    <definedName name="E3T.3PSVCREV_USD">'E3T Check'!$B$19</definedName>
    <definedName name="E3T.DEAL_ID">'E3T Check'!$B$31</definedName>
    <definedName name="E3T.EGM">'E3T Check'!$B$5</definedName>
    <definedName name="E3T.EXCHG_RATE">'E3T Check'!$B$3</definedName>
    <definedName name="E3T.FLGM">'E3T Check'!$B$4</definedName>
    <definedName name="E3T.HPE_RATE">'E3T Check'!$B$23</definedName>
    <definedName name="E3T.HPEREV">'E3T Check'!$B$14</definedName>
    <definedName name="E3T.HPEREV_USD">'E3T Check'!$B$15</definedName>
    <definedName name="E3T.RISK_KRW">'E3T Check'!$B$11</definedName>
    <definedName name="E3T.RISK_RATE">'E3T Check'!$B$6</definedName>
    <definedName name="E3T.RISK_USD">'E3T Check'!$B$12</definedName>
    <definedName name="E3T.TCV">'E3T Check'!$B$8</definedName>
    <definedName name="E3T.TCV_USD">'E3T Check'!$B$9</definedName>
    <definedName name="E3T.TCV_USDK">'E3T Check'!$B$10</definedName>
    <definedName name="E3T.TOTALCOST">'E3T Check'!$B$28</definedName>
    <definedName name="E3T.TOTALCOST_USD">'E3T Check'!$B$29</definedName>
    <definedName name="EXCHG_RATE">'Cost simulation'!$B$6</definedName>
    <definedName name="EXP_COST">'Cost simulation'!$N$25</definedName>
    <definedName name="Expense">#REF!</definedName>
    <definedName name="FLGM">'Cost simulation'!$B$8</definedName>
    <definedName name="FLGM_STD">'Cost simulation'!$B$7</definedName>
    <definedName name="G4_EGM비율">#REF!</definedName>
    <definedName name="HPEAhours1">'Cost simulation'!$M$19</definedName>
    <definedName name="HPEAhours2">'Cost simulation'!$M$20</definedName>
    <definedName name="HPEAhours3">'Cost simulation'!$M$21</definedName>
    <definedName name="HPEAhours4">'Cost simulation'!$M$22</definedName>
    <definedName name="HPEAhours5">'Cost simulation'!$M$23</definedName>
    <definedName name="HPEAremarks1">'Cost simulation'!$H$19</definedName>
    <definedName name="HPEAremarks2">'Cost simulation'!$H$20</definedName>
    <definedName name="HPEAremarks3">'Cost simulation'!$H$21</definedName>
    <definedName name="HPEAremarks4">'Cost simulation'!$H$22</definedName>
    <definedName name="HPEAremarks5">'Cost simulation'!$H$23</definedName>
    <definedName name="HPEAType1">'Cost simulation'!$I$19</definedName>
    <definedName name="HPEAType2">'Cost simulation'!$I$20</definedName>
    <definedName name="HPEAType3">'Cost simulation'!$I$21</definedName>
    <definedName name="HPEAType4">'Cost simulation'!$I$22</definedName>
    <definedName name="HPEAType5">'Cost simulation'!$I$23</definedName>
    <definedName name="HPETCV_USD">'Cost simulation'!$I$5</definedName>
    <definedName name="HPEThours1">'Cost simulation'!$J$12</definedName>
    <definedName name="HPEThours2">'Cost simulation'!$J$13</definedName>
    <definedName name="HPEThours3">'Cost simulation'!$J$14</definedName>
    <definedName name="HPEThours4">'Cost simulation'!$J$15</definedName>
    <definedName name="HPETremarks1">'Cost simulation'!$H$12</definedName>
    <definedName name="HPETremarks2">'Cost simulation'!$H$13</definedName>
    <definedName name="HPETremarks3">'Cost simulation'!$H$14</definedName>
    <definedName name="HPETremarks4">'Cost simulation'!$H$15</definedName>
    <definedName name="HPETType1">'Cost simulation'!$I$12</definedName>
    <definedName name="HPETType2">'Cost simulation'!$I$13</definedName>
    <definedName name="HPETType3">'Cost simulation'!$I$14</definedName>
    <definedName name="HPETType4">'Cost simulation'!$I$15</definedName>
    <definedName name="NSP.13Category">#REF!</definedName>
    <definedName name="NSP.13Description">#REF!</definedName>
    <definedName name="NSP.13Justification">#REF!</definedName>
    <definedName name="NSP.13YN">#REF!</definedName>
    <definedName name="NSP.14ACategory">#REF!</definedName>
    <definedName name="NSP.14ADescription">#REF!</definedName>
    <definedName name="NSP.14AJustification">#REF!</definedName>
    <definedName name="NSP.14AYN">#REF!</definedName>
    <definedName name="NSP.14BCategory">#REF!</definedName>
    <definedName name="NSP.14BDescription">#REF!</definedName>
    <definedName name="NSP.14BJustification">#REF!</definedName>
    <definedName name="NSP.14BYN">#REF!</definedName>
    <definedName name="NSP.16Category">#REF!</definedName>
    <definedName name="NSP.16Description">#REF!</definedName>
    <definedName name="NSP.16Justification">#REF!</definedName>
    <definedName name="NSP.16YN">#REF!</definedName>
    <definedName name="NSP.17Category">#REF!</definedName>
    <definedName name="NSP.17Description">#REF!</definedName>
    <definedName name="NSP.17Justification">#REF!</definedName>
    <definedName name="NSP.17YN">#REF!</definedName>
    <definedName name="NSP.18YN">#REF!</definedName>
    <definedName name="NSP.21Category">#REF!</definedName>
    <definedName name="NSP.21Description">#REF!</definedName>
    <definedName name="NSP.21Justification">#REF!</definedName>
    <definedName name="NSP.21YN">#REF!</definedName>
    <definedName name="NSP.26Category">#REF!</definedName>
    <definedName name="NSP.26Description">#REF!</definedName>
    <definedName name="NSP.26Justification">#REF!</definedName>
    <definedName name="NSP.26YN">#REF!</definedName>
    <definedName name="NSP.28Category">#REF!</definedName>
    <definedName name="NSP.28Description">#REF!</definedName>
    <definedName name="NSP.28Justification">#REF!</definedName>
    <definedName name="NSP.28YN">#REF!</definedName>
    <definedName name="NSP.32Category">#REF!</definedName>
    <definedName name="NSP.32Description">#REF!</definedName>
    <definedName name="NSP.32Justification">#REF!</definedName>
    <definedName name="NSP.32YN">#REF!</definedName>
    <definedName name="NSP.6Category">#REF!</definedName>
    <definedName name="NSP.6Description">#REF!</definedName>
    <definedName name="NSP.6Justification">#REF!</definedName>
    <definedName name="NSP.6YN">#REF!</definedName>
    <definedName name="NSP.7Category">#REF!</definedName>
    <definedName name="NSP.7Description">#REF!</definedName>
    <definedName name="NSP.7Justification">#REF!</definedName>
    <definedName name="NSP.7YN">#REF!</definedName>
    <definedName name="NSP.ContractType">#REF!</definedName>
    <definedName name="NSP.DealDescription">#REF!</definedName>
    <definedName name="PDT_COST">'Cost simulation'!$Q$8</definedName>
    <definedName name="PDT_EGM">'Cost simulation'!$B$11</definedName>
    <definedName name="PL_LIST">'Meta data'!$E$5:$E$27</definedName>
    <definedName name="QW_EGM비율">#REF!</definedName>
    <definedName name="RISK_RATE">'Cost simulation'!$B$12</definedName>
    <definedName name="RISK_USD">'Cost simulation'!$C$25</definedName>
    <definedName name="Risk비율">#REF!</definedName>
    <definedName name="SA.3PCapabilityIssue">#REF!</definedName>
    <definedName name="SA.3PCapabilityResponse">#REF!</definedName>
    <definedName name="SA.3PResponsibilityIssue">#REF!</definedName>
    <definedName name="SA.3PResponsibilityResponse">#REF!</definedName>
    <definedName name="SA.3PSolutionIssue">#REF!</definedName>
    <definedName name="SA.3PSolutionResponse">#REF!</definedName>
    <definedName name="SA.ArchitectureIssue">#REF!</definedName>
    <definedName name="SA.ArchitectureResponse">#REF!</definedName>
    <definedName name="SA.Customer">#REF!</definedName>
    <definedName name="SA.EID">#REF!</definedName>
    <definedName name="SA.InterfaceIssue">#REF!</definedName>
    <definedName name="SA.InterfaceResponse">#REF!</definedName>
    <definedName name="SA.PerformanceIssue">#REF!</definedName>
    <definedName name="SA.PerformanceResponse">#REF!</definedName>
    <definedName name="SA.Reviewer">#REF!</definedName>
    <definedName name="SA.ScheduleIssue">#REF!</definedName>
    <definedName name="SA.ScheduleResponse">#REF!</definedName>
    <definedName name="SA.ScopeIssue">#REF!</definedName>
    <definedName name="SA.ScopeResponse">#REF!</definedName>
    <definedName name="SA.SolutionIssue">#REF!</definedName>
    <definedName name="SA.SolutionResponse">#REF!</definedName>
    <definedName name="SA.WR_DATE">#REF!</definedName>
    <definedName name="SFDC.BILL_MODEL">#REF!</definedName>
    <definedName name="SFDC.SOAR_DATE">#REF!</definedName>
    <definedName name="SFDC.SOAR_TYPE">#REF!</definedName>
    <definedName name="STD">#REF!</definedName>
    <definedName name="SVC_COST">'Cost simulation'!$Q$7</definedName>
    <definedName name="SVC_EGM">'Cost simulation'!$B$10</definedName>
    <definedName name="TCV">#REF!</definedName>
    <definedName name="TCV_USD">'Cost simulation'!$B$4</definedName>
    <definedName name="THPTCV_USD">'Cost simulation'!$Q$5</definedName>
    <definedName name="THSTCV_USD">'Cost simulation'!$Q$9</definedName>
    <definedName name="TOTALCOST_USD">'Cost simulation'!$B$25</definedName>
    <definedName name="UTIL_HOURS">'Cost simulation'!$M$8</definedName>
    <definedName name="UTIL_STD">'Cost simulation'!$H$8</definedName>
    <definedName name="UTIL_TABLE">'Meta data'!$B$6:$C$9</definedName>
    <definedName name="서비스총비용">#REF!</definedName>
    <definedName name="제품총비용">#REF!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8" i="5" l="1"/>
  <c r="F7" i="5"/>
  <c r="F6" i="5"/>
  <c r="F5" i="5"/>
  <c r="F4" i="5"/>
  <c r="F3" i="5"/>
  <c r="L21" i="5" l="1"/>
  <c r="B3" i="15" l="1"/>
  <c r="P11" i="33"/>
  <c r="Q11" i="33"/>
  <c r="Q17" i="33" s="1"/>
  <c r="P16" i="33"/>
  <c r="S16" i="33" s="1"/>
  <c r="T16" i="33" s="1"/>
  <c r="P15" i="33"/>
  <c r="S15" i="33" s="1"/>
  <c r="P14" i="33"/>
  <c r="P13" i="33"/>
  <c r="S13" i="33"/>
  <c r="P12" i="33"/>
  <c r="S12" i="33" s="1"/>
  <c r="O16" i="33"/>
  <c r="O15" i="33"/>
  <c r="R15" i="33"/>
  <c r="T15" i="33" s="1"/>
  <c r="O14" i="33"/>
  <c r="R14" i="33" s="1"/>
  <c r="T14" i="33" s="1"/>
  <c r="O13" i="33"/>
  <c r="R13" i="33"/>
  <c r="O12" i="33"/>
  <c r="R12" i="33" s="1"/>
  <c r="T12" i="33" s="1"/>
  <c r="S14" i="33"/>
  <c r="S11" i="33"/>
  <c r="T11" i="33" s="1"/>
  <c r="N12" i="5" s="1"/>
  <c r="R11" i="33"/>
  <c r="T13" i="33"/>
  <c r="N10" i="33"/>
  <c r="M10" i="33"/>
  <c r="L10" i="33"/>
  <c r="K10" i="33"/>
  <c r="J10" i="33"/>
  <c r="I10" i="33"/>
  <c r="H10" i="33"/>
  <c r="G10" i="33"/>
  <c r="F10" i="33"/>
  <c r="E10" i="33"/>
  <c r="D10" i="33"/>
  <c r="C10" i="33"/>
  <c r="P17" i="31"/>
  <c r="B10" i="5"/>
  <c r="E7" i="15"/>
  <c r="E6" i="15"/>
  <c r="E5" i="15"/>
  <c r="E4" i="15"/>
  <c r="E3" i="15"/>
  <c r="E9" i="8"/>
  <c r="E8" i="8"/>
  <c r="E7" i="8"/>
  <c r="E15" i="8"/>
  <c r="E14" i="8"/>
  <c r="B11" i="5"/>
  <c r="L20" i="5"/>
  <c r="M20" i="5" s="1"/>
  <c r="N20" i="5"/>
  <c r="L19" i="5"/>
  <c r="M19" i="5" s="1"/>
  <c r="N19" i="5" s="1"/>
  <c r="Q8" i="5"/>
  <c r="B22" i="5" s="1"/>
  <c r="Q7" i="5"/>
  <c r="B21" i="5" s="1"/>
  <c r="L23" i="5"/>
  <c r="M23" i="5"/>
  <c r="L22" i="5"/>
  <c r="M22" i="5"/>
  <c r="M21" i="5"/>
  <c r="N21" i="5" s="1"/>
  <c r="K18" i="5"/>
  <c r="N23" i="5"/>
  <c r="N22" i="5"/>
  <c r="N15" i="5"/>
  <c r="N14" i="5"/>
  <c r="N13" i="5"/>
  <c r="N18" i="5"/>
  <c r="M18" i="5"/>
  <c r="L18" i="5"/>
  <c r="J18" i="5"/>
  <c r="I18" i="5"/>
  <c r="H18" i="5"/>
  <c r="H11" i="5"/>
  <c r="N11" i="5"/>
  <c r="J11" i="5"/>
  <c r="I11" i="5"/>
  <c r="M8" i="5" l="1"/>
  <c r="I3" i="5"/>
  <c r="B20" i="5" s="1"/>
  <c r="B24" i="5" s="1"/>
  <c r="B25" i="5" s="1"/>
  <c r="C22" i="5"/>
  <c r="D22" i="5" s="1"/>
  <c r="Q3" i="5"/>
  <c r="C21" i="5"/>
  <c r="D21" i="5" s="1"/>
  <c r="T17" i="33"/>
  <c r="C20" i="5" l="1"/>
  <c r="C24" i="5" s="1"/>
  <c r="C25" i="5" s="1"/>
  <c r="E22" i="5"/>
  <c r="F22" i="5" s="1"/>
  <c r="E21" i="5"/>
  <c r="F21" i="5" s="1"/>
  <c r="Q9" i="5" s="1"/>
  <c r="Q4" i="5" l="1"/>
  <c r="Q5" i="5" s="1"/>
  <c r="D20" i="5"/>
  <c r="D24" i="5" s="1"/>
  <c r="D25" i="5" s="1"/>
  <c r="E20" i="5" l="1"/>
  <c r="E24" i="5" s="1"/>
  <c r="E25" i="5" s="1"/>
  <c r="F20" i="5" l="1"/>
  <c r="I4" i="5" s="1"/>
  <c r="I5" i="5" s="1"/>
  <c r="I6" i="5" s="1"/>
  <c r="F24" i="5" l="1"/>
  <c r="B14" i="5" s="1"/>
  <c r="B15" i="5" l="1"/>
  <c r="F25" i="5"/>
  <c r="B3" i="5"/>
  <c r="B5" i="5" l="1"/>
  <c r="E12" i="5"/>
  <c r="B4" i="5"/>
  <c r="F9" i="5" l="1"/>
</calcChain>
</file>

<file path=xl/sharedStrings.xml><?xml version="1.0" encoding="utf-8"?>
<sst xmlns="http://schemas.openxmlformats.org/spreadsheetml/2006/main" count="685" uniqueCount="431">
  <si>
    <t>TCV</t>
  </si>
  <si>
    <t>FLGM</t>
  </si>
  <si>
    <t>Risk</t>
  </si>
  <si>
    <t>Exchange rate</t>
  </si>
  <si>
    <t>HPE Resource</t>
  </si>
  <si>
    <t>3P Resource</t>
  </si>
  <si>
    <t>Total Contract Value</t>
  </si>
  <si>
    <t>Resource Type</t>
  </si>
  <si>
    <t>직급</t>
  </si>
  <si>
    <t>1 hour</t>
  </si>
  <si>
    <t>Type</t>
  </si>
  <si>
    <t>항목명</t>
  </si>
  <si>
    <t>과장</t>
  </si>
  <si>
    <t>Service EGM</t>
  </si>
  <si>
    <t>차장</t>
  </si>
  <si>
    <t>부장</t>
  </si>
  <si>
    <t>Expense</t>
  </si>
  <si>
    <t>Deliverable</t>
  </si>
  <si>
    <t>Sell Margin</t>
  </si>
  <si>
    <t>HPE</t>
  </si>
  <si>
    <t>3P Service</t>
  </si>
  <si>
    <t>1 month 100%: 176</t>
  </si>
  <si>
    <t>[Total Hours]</t>
  </si>
  <si>
    <t>[Average %]</t>
  </si>
  <si>
    <t>HPE Total costs</t>
  </si>
  <si>
    <t>3P Total Cost</t>
  </si>
  <si>
    <t>Cost</t>
  </si>
  <si>
    <t>TCV USD</t>
  </si>
  <si>
    <t>Product EGM</t>
  </si>
  <si>
    <t>TCV (incl. V.A.T)</t>
  </si>
  <si>
    <t>[Calculating Total Contract Value]</t>
  </si>
  <si>
    <t>Cost
(HPE+Expense)</t>
  </si>
  <si>
    <t>Total Contract
Costs (원가+Risk)</t>
  </si>
  <si>
    <t>3P Product(QW)</t>
  </si>
  <si>
    <t>TC II</t>
  </si>
  <si>
    <t>TC III</t>
  </si>
  <si>
    <t>TC IV</t>
  </si>
  <si>
    <t>TC V</t>
  </si>
  <si>
    <t>SOAR</t>
  </si>
  <si>
    <t>HPE TCV USD</t>
  </si>
  <si>
    <t>3P TCV USD</t>
  </si>
  <si>
    <t>HPE TCV</t>
  </si>
  <si>
    <t>3P TCV</t>
  </si>
  <si>
    <t>Meta data</t>
  </si>
  <si>
    <t>[Resource Utilization]</t>
  </si>
  <si>
    <t>[LSR Band]</t>
  </si>
  <si>
    <t>A</t>
  </si>
  <si>
    <t>B</t>
  </si>
  <si>
    <t>C</t>
  </si>
  <si>
    <t>[FLGM Band]</t>
  </si>
  <si>
    <t>Upper</t>
  </si>
  <si>
    <t>Lower</t>
  </si>
  <si>
    <t>OBR-Lite (Local DO)</t>
  </si>
  <si>
    <t>OBR-Lite (Local DO + Summary)</t>
  </si>
  <si>
    <t>OBR-Lite (APAC DO)</t>
  </si>
  <si>
    <t>OBR-Lite (APAC DO + Summary)</t>
  </si>
  <si>
    <t>OBR FULL Meeting</t>
  </si>
  <si>
    <t>SFDC Tiny (L1 approval)</t>
  </si>
  <si>
    <t>SFDC Tiny (L2 approval)</t>
  </si>
  <si>
    <t>[Utility 기준 선택]</t>
  </si>
  <si>
    <t>[3P Costs]</t>
  </si>
  <si>
    <t>이사</t>
  </si>
  <si>
    <t>3P Service Cost</t>
  </si>
  <si>
    <t>3P Product Cost</t>
  </si>
  <si>
    <t>Total</t>
  </si>
  <si>
    <t>-</t>
  </si>
  <si>
    <t>Deal 기본 정보</t>
  </si>
  <si>
    <t>Order Date/서류날짜</t>
  </si>
  <si>
    <t>Project Name</t>
  </si>
  <si>
    <t>EID#</t>
  </si>
  <si>
    <t>EGM</t>
  </si>
  <si>
    <t>SKU#</t>
  </si>
  <si>
    <t>Service Name</t>
  </si>
  <si>
    <t>Risk rate (%)</t>
  </si>
  <si>
    <t>Customer name (Contract)</t>
  </si>
  <si>
    <t>Start Date (with Customer)</t>
  </si>
  <si>
    <t>Order#</t>
  </si>
  <si>
    <t>End Date (with Customer)</t>
  </si>
  <si>
    <t>PO</t>
  </si>
  <si>
    <t>Project Manager name</t>
  </si>
  <si>
    <t>PL</t>
  </si>
  <si>
    <t>Project Manager title</t>
  </si>
  <si>
    <t>USD TCV</t>
  </si>
  <si>
    <t>Project Manager phone</t>
  </si>
  <si>
    <t>Project Manager E-mail</t>
  </si>
  <si>
    <t>Customer name (End user)</t>
  </si>
  <si>
    <t>Remark</t>
  </si>
  <si>
    <t>OPP-ID</t>
  </si>
  <si>
    <t>G4</t>
  </si>
  <si>
    <t>[PL List]</t>
  </si>
  <si>
    <t>Description</t>
  </si>
  <si>
    <t>G5</t>
  </si>
  <si>
    <t>6C</t>
  </si>
  <si>
    <t>H3</t>
  </si>
  <si>
    <t>PJ</t>
  </si>
  <si>
    <t>IW</t>
  </si>
  <si>
    <t>IZ</t>
  </si>
  <si>
    <t>EA</t>
  </si>
  <si>
    <t>60</t>
  </si>
  <si>
    <t>JK</t>
  </si>
  <si>
    <t>GD</t>
  </si>
  <si>
    <t>NO</t>
  </si>
  <si>
    <t>QQ</t>
  </si>
  <si>
    <t>1Z</t>
  </si>
  <si>
    <t>5V</t>
  </si>
  <si>
    <t>SV</t>
  </si>
  <si>
    <t>GU</t>
  </si>
  <si>
    <t>4J</t>
  </si>
  <si>
    <t>V0</t>
  </si>
  <si>
    <t>SQ</t>
  </si>
  <si>
    <t>SP</t>
  </si>
  <si>
    <t>QW</t>
  </si>
  <si>
    <t>AI &amp; Data Platforms</t>
  </si>
  <si>
    <t>Storage Infrastructure</t>
  </si>
  <si>
    <t>SGI Prof Services</t>
  </si>
  <si>
    <t>Cray A&amp;PS</t>
  </si>
  <si>
    <t>Security Big Data &amp; AI (New)</t>
  </si>
  <si>
    <t>Backup and Recovery Services (New)</t>
  </si>
  <si>
    <t>Platform &amp; App M&amp;M</t>
  </si>
  <si>
    <t>Cloud Native &amp; Container</t>
  </si>
  <si>
    <t>DC Technology</t>
  </si>
  <si>
    <t>HC - Transformation (New)</t>
  </si>
  <si>
    <t>Hybrid Cloud - SRC (New)</t>
  </si>
  <si>
    <t>Cloud Technology Partners</t>
  </si>
  <si>
    <t>RedPixie</t>
  </si>
  <si>
    <t>Network Consulting</t>
  </si>
  <si>
    <t>Digital Workplace</t>
  </si>
  <si>
    <t>Visual Remote Guidance</t>
  </si>
  <si>
    <t>NWI Security &amp; Cyber Resilience (New)</t>
  </si>
  <si>
    <t>Education Services</t>
  </si>
  <si>
    <t>Edu MCC</t>
  </si>
  <si>
    <t>Management of Change</t>
  </si>
  <si>
    <t>Digital Transformation and Enablement</t>
  </si>
  <si>
    <t>A&amp;PS Third Party Product</t>
  </si>
  <si>
    <t>Part</t>
  </si>
  <si>
    <t>AI&amp;D</t>
  </si>
  <si>
    <t>Hybrid Cloud</t>
  </si>
  <si>
    <t>Network, Workplace, Intelligent Edge</t>
  </si>
  <si>
    <t>Education</t>
  </si>
  <si>
    <t>Advisory &amp; Transformation</t>
  </si>
  <si>
    <t>3rd Party</t>
  </si>
  <si>
    <t>[PCS]</t>
  </si>
  <si>
    <t>[Project]</t>
  </si>
  <si>
    <t>[E3T]</t>
  </si>
  <si>
    <t>E3T Duration</t>
  </si>
  <si>
    <t>Project Duration</t>
  </si>
  <si>
    <t>Prepared by</t>
  </si>
  <si>
    <t>Client Principal</t>
  </si>
  <si>
    <t>Sales Manager</t>
  </si>
  <si>
    <t>Finance Lead</t>
  </si>
  <si>
    <t>ECO</t>
  </si>
  <si>
    <t>Project Lead LOB</t>
  </si>
  <si>
    <t>[Project Lead LOB]</t>
  </si>
  <si>
    <t>A&amp;P CLD</t>
  </si>
  <si>
    <t>A&amp;P STC</t>
  </si>
  <si>
    <t>A&amp;P DCF</t>
  </si>
  <si>
    <t>A&amp;P HIT</t>
  </si>
  <si>
    <t>A&amp;P DAN</t>
  </si>
  <si>
    <t>A&amp;P CTP</t>
  </si>
  <si>
    <t>A&amp;P 3PP</t>
  </si>
  <si>
    <t>LOB</t>
  </si>
  <si>
    <t>3P Rate</t>
  </si>
  <si>
    <t>3PP Rate</t>
  </si>
  <si>
    <t>Total USD</t>
  </si>
  <si>
    <t>[Governing Terms]</t>
  </si>
  <si>
    <t>Custom T&amp;Cs</t>
  </si>
  <si>
    <t>HPE Standard T&amp;Cs</t>
  </si>
  <si>
    <t>HPE Standard T&amp;Cs to be negotiated</t>
  </si>
  <si>
    <t>Preapproved Custom T&amp;Cs</t>
  </si>
  <si>
    <t>N/A</t>
  </si>
  <si>
    <t>Customer's requirements</t>
  </si>
  <si>
    <t>Util총합</t>
    <phoneticPr fontId="8" type="noConversion"/>
  </si>
  <si>
    <t>[Sales Stages in SFDC]</t>
    <phoneticPr fontId="8" type="noConversion"/>
  </si>
  <si>
    <t>01 - Understand Customer</t>
    <phoneticPr fontId="8" type="noConversion"/>
  </si>
  <si>
    <t>02 - Validate Opportunity</t>
    <phoneticPr fontId="8" type="noConversion"/>
  </si>
  <si>
    <t>03 - Qualify the Opportunity</t>
    <phoneticPr fontId="8" type="noConversion"/>
  </si>
  <si>
    <t>04A - Develop Solution</t>
    <phoneticPr fontId="8" type="noConversion"/>
  </si>
  <si>
    <t>04B - Propose Solution</t>
    <phoneticPr fontId="8" type="noConversion"/>
  </si>
  <si>
    <t>05 - Negotiate &amp; Close</t>
    <phoneticPr fontId="8" type="noConversion"/>
  </si>
  <si>
    <t>06 - Won, Deploy &amp; Expand</t>
    <phoneticPr fontId="8" type="noConversion"/>
  </si>
  <si>
    <t>Lost</t>
    <phoneticPr fontId="8" type="noConversion"/>
  </si>
  <si>
    <t>HP Not Pursued</t>
    <phoneticPr fontId="8" type="noConversion"/>
  </si>
  <si>
    <t>Error</t>
    <phoneticPr fontId="8" type="noConversion"/>
  </si>
  <si>
    <t>[Risk Categories]</t>
    <phoneticPr fontId="8" type="noConversion"/>
  </si>
  <si>
    <t>Financial</t>
    <phoneticPr fontId="8" type="noConversion"/>
  </si>
  <si>
    <t>Project Complexity</t>
    <phoneticPr fontId="8" type="noConversion"/>
  </si>
  <si>
    <t>Project Schedule</t>
    <phoneticPr fontId="8" type="noConversion"/>
  </si>
  <si>
    <t>Technology - Hardware &amp; Software</t>
    <phoneticPr fontId="8" type="noConversion"/>
  </si>
  <si>
    <t>Client Commitment &amp; Environment</t>
    <phoneticPr fontId="8" type="noConversion"/>
  </si>
  <si>
    <t>External Risks</t>
    <phoneticPr fontId="8" type="noConversion"/>
  </si>
  <si>
    <t>HP Experience &amp; Capability</t>
    <phoneticPr fontId="8" type="noConversion"/>
  </si>
  <si>
    <t>Legal &amp; Contractual</t>
    <phoneticPr fontId="8" type="noConversion"/>
  </si>
  <si>
    <t>Project Governance</t>
    <phoneticPr fontId="8" type="noConversion"/>
  </si>
  <si>
    <t>Project Resourcing / HR</t>
    <phoneticPr fontId="8" type="noConversion"/>
  </si>
  <si>
    <t>Security, Compliance and Regulatory</t>
    <phoneticPr fontId="8" type="noConversion"/>
  </si>
  <si>
    <t>Sub-contractors</t>
    <phoneticPr fontId="8" type="noConversion"/>
  </si>
  <si>
    <t>E3T Check</t>
    <phoneticPr fontId="8" type="noConversion"/>
  </si>
  <si>
    <t>Exchange Rate</t>
    <phoneticPr fontId="8" type="noConversion"/>
  </si>
  <si>
    <t>Risk Rate</t>
    <phoneticPr fontId="8" type="noConversion"/>
  </si>
  <si>
    <t>Result FLGM</t>
    <phoneticPr fontId="8" type="noConversion"/>
  </si>
  <si>
    <t>Result EGM</t>
    <phoneticPr fontId="8" type="noConversion"/>
  </si>
  <si>
    <t>Result TCV</t>
    <phoneticPr fontId="8" type="noConversion"/>
  </si>
  <si>
    <t>Result TCV (USD)</t>
    <phoneticPr fontId="8" type="noConversion"/>
  </si>
  <si>
    <t>Result TCV (USD) K</t>
    <phoneticPr fontId="8" type="noConversion"/>
  </si>
  <si>
    <t>A&amp;PS Revenue (USD)</t>
    <phoneticPr fontId="8" type="noConversion"/>
  </si>
  <si>
    <t>3P Revenue (USD)</t>
    <phoneticPr fontId="8" type="noConversion"/>
  </si>
  <si>
    <t>A&amp;PS %</t>
    <phoneticPr fontId="8" type="noConversion"/>
  </si>
  <si>
    <t>3P Rate %</t>
    <phoneticPr fontId="8" type="noConversion"/>
  </si>
  <si>
    <t>3P Service %</t>
    <phoneticPr fontId="8" type="noConversion"/>
  </si>
  <si>
    <t>3P Product %</t>
    <phoneticPr fontId="8" type="noConversion"/>
  </si>
  <si>
    <t>Risk Amount</t>
    <phoneticPr fontId="8" type="noConversion"/>
  </si>
  <si>
    <t>Risk Amount (USD)</t>
    <phoneticPr fontId="8" type="noConversion"/>
  </si>
  <si>
    <t>A&amp;PS Revenue</t>
    <phoneticPr fontId="8" type="noConversion"/>
  </si>
  <si>
    <t>3P Revenue</t>
    <phoneticPr fontId="8" type="noConversion"/>
  </si>
  <si>
    <t>3P Service Revenue</t>
    <phoneticPr fontId="8" type="noConversion"/>
  </si>
  <si>
    <t>3P Service Revenue (USD)</t>
    <phoneticPr fontId="8" type="noConversion"/>
  </si>
  <si>
    <t>3P Product Revenue</t>
    <phoneticPr fontId="8" type="noConversion"/>
  </si>
  <si>
    <t>3P Product Revenue (USD)</t>
    <phoneticPr fontId="8" type="noConversion"/>
  </si>
  <si>
    <t>Total Costs (Risk X)</t>
    <phoneticPr fontId="8" type="noConversion"/>
  </si>
  <si>
    <t>Total Costs (Risk X) (USD)</t>
    <phoneticPr fontId="8" type="noConversion"/>
  </si>
  <si>
    <t>Project Name</t>
    <phoneticPr fontId="8" type="noConversion"/>
  </si>
  <si>
    <t>Deal Engagement Form</t>
  </si>
  <si>
    <t>[Go to Market]</t>
  </si>
  <si>
    <t>Direct</t>
  </si>
  <si>
    <t>Indirect</t>
  </si>
  <si>
    <t>Channel 2.0</t>
  </si>
  <si>
    <t>Channel 3.0</t>
  </si>
  <si>
    <t>Channel 1.0 or agency model</t>
  </si>
  <si>
    <t>Local</t>
  </si>
  <si>
    <t>[Milestone]</t>
  </si>
  <si>
    <t>Monthly in advance</t>
  </si>
  <si>
    <t>Monthly in arrear</t>
  </si>
  <si>
    <t>Quarterly in advance</t>
  </si>
  <si>
    <t>Quarterly in arrear</t>
  </si>
  <si>
    <t>Yearly in advance</t>
  </si>
  <si>
    <t>Yearly in arrear</t>
  </si>
  <si>
    <t>Milestone</t>
  </si>
  <si>
    <t>Other</t>
  </si>
  <si>
    <t>[Customer Invoicing Schedule]</t>
  </si>
  <si>
    <t>30 Days from Invoice date</t>
  </si>
  <si>
    <t>45 Days from Invoice date</t>
  </si>
  <si>
    <t>60 Days from Invoice date</t>
  </si>
  <si>
    <t>90 Days from Invoice date</t>
  </si>
  <si>
    <t>Other Precise</t>
  </si>
  <si>
    <t>[3rd party payment terms]</t>
  </si>
  <si>
    <t>30 Days</t>
  </si>
  <si>
    <t>45 Days</t>
  </si>
  <si>
    <t>60 Days</t>
  </si>
  <si>
    <t>90 Days</t>
  </si>
  <si>
    <t>EOAP65</t>
  </si>
  <si>
    <t>No</t>
  </si>
  <si>
    <t>PM</t>
  </si>
  <si>
    <t>Her, Il</t>
  </si>
  <si>
    <t>Manager</t>
    <phoneticPr fontId="8" type="noConversion"/>
  </si>
  <si>
    <t>LSR</t>
  </si>
  <si>
    <t>LSR (Lifetime Service Revenue) in SFDC</t>
  </si>
  <si>
    <t>75k 이하</t>
  </si>
  <si>
    <t>75k ~ &lt;250k
(3P 제품 제외한 금액이 250k 이하)</t>
  </si>
  <si>
    <t>250k ~ 500k
(3P 제품을 제외한 금액이 250k 이상)</t>
  </si>
  <si>
    <t>500k ~ &lt;10M</t>
  </si>
  <si>
    <t>Middle</t>
  </si>
  <si>
    <t>APS FLGM</t>
  </si>
  <si>
    <t>All</t>
  </si>
  <si>
    <t>Approval Level</t>
  </si>
  <si>
    <t>Geo 1</t>
  </si>
  <si>
    <t>Geo 2
(Geo 1)</t>
  </si>
  <si>
    <t>WW</t>
  </si>
  <si>
    <t>Geo 2</t>
  </si>
  <si>
    <t>How to</t>
  </si>
  <si>
    <t>지정된 문서를 포함하여 SFDC 로 처리</t>
  </si>
  <si>
    <t>LITE OBR
(SFDC Online)</t>
  </si>
  <si>
    <t>FULL OBR 
(Meeting)</t>
  </si>
  <si>
    <t>Advisory_Tool.xlsm - Outcome Lite or Full</t>
  </si>
  <si>
    <t>O</t>
  </si>
  <si>
    <t>Waiver - Non-binding/Re-Approval/SC</t>
  </si>
  <si>
    <t>Follow waiver docs - minimum docs than Lite or Full</t>
  </si>
  <si>
    <r>
      <t xml:space="preserve">Credit Check Approval </t>
    </r>
    <r>
      <rPr>
        <b/>
        <i/>
        <sz val="9"/>
        <color theme="1"/>
        <rFont val="맑은 고딕"/>
        <family val="3"/>
        <charset val="129"/>
      </rPr>
      <t>(Sales Rep.)</t>
    </r>
  </si>
  <si>
    <t>E3T.xlsm</t>
  </si>
  <si>
    <t>Risk Log.xlsx</t>
  </si>
  <si>
    <t>3P Details.pptx</t>
  </si>
  <si>
    <t>3P 견적서</t>
  </si>
  <si>
    <t>Flow-down 메일</t>
  </si>
  <si>
    <t>FLGM justification</t>
  </si>
  <si>
    <t>Delivery Opinion</t>
  </si>
  <si>
    <t>RFP</t>
  </si>
  <si>
    <t>HPE SOW.pptx</t>
  </si>
  <si>
    <t>O</t>
    <phoneticPr fontId="11" type="noConversion"/>
  </si>
  <si>
    <t>SA opinion.docx</t>
  </si>
  <si>
    <t>DA - briefing deck.pptx</t>
  </si>
  <si>
    <t>Finance Opinion</t>
  </si>
  <si>
    <t>Gross vs Net Check list.pdf</t>
  </si>
  <si>
    <r>
      <t xml:space="preserve">Legal Opinion for </t>
    </r>
    <r>
      <rPr>
        <b/>
        <sz val="9"/>
        <color rgb="FFFF0000"/>
        <rFont val="맑은 고딕"/>
        <family val="3"/>
        <charset val="129"/>
      </rPr>
      <t>non-standard T&amp;Cs</t>
    </r>
  </si>
  <si>
    <r>
      <rPr>
        <b/>
        <sz val="9"/>
        <rFont val="맑은 고딕"/>
        <family val="3"/>
        <charset val="129"/>
      </rPr>
      <t xml:space="preserve">FAP(NSP) Approval for </t>
    </r>
    <r>
      <rPr>
        <b/>
        <sz val="9"/>
        <color rgb="FFFF0000"/>
        <rFont val="맑은 고딕"/>
        <family val="3"/>
        <charset val="129"/>
      </rPr>
      <t>non-standard T&amp;Cs</t>
    </r>
  </si>
  <si>
    <t>FAP(NSP) requirement review with APS Finance</t>
  </si>
  <si>
    <t>Done by OC</t>
  </si>
  <si>
    <t>OBR Execute Summary.pptx</t>
  </si>
  <si>
    <t>Area</t>
  </si>
  <si>
    <t>Level 1 (G1)</t>
  </si>
  <si>
    <t>Level 2 (G2)</t>
  </si>
  <si>
    <t>Level 3 (WW)</t>
  </si>
  <si>
    <t>Financial Guardrails</t>
  </si>
  <si>
    <t>LSR (1)</t>
  </si>
  <si>
    <t>As per Financial Guardrails (refer to above table)</t>
  </si>
  <si>
    <t>FLGM (1)</t>
  </si>
  <si>
    <t>Non-Financial Guardrails</t>
  </si>
  <si>
    <t>Multi Geo</t>
  </si>
  <si>
    <t>single Geo only</t>
  </si>
  <si>
    <t>yes</t>
  </si>
  <si>
    <t>Risk Rating (2)</t>
  </si>
  <si>
    <t>low or medium</t>
  </si>
  <si>
    <t>high</t>
  </si>
  <si>
    <t>very high</t>
  </si>
  <si>
    <t>Special Labour Investment required (3)</t>
  </si>
  <si>
    <t>Employee transfer</t>
  </si>
  <si>
    <t>Asset / Capital Transfer (4)</t>
  </si>
  <si>
    <t>Acquisitions</t>
  </si>
  <si>
    <t xml:space="preserve">3PP PL QV/QW (5) </t>
  </si>
  <si>
    <r>
      <t xml:space="preserve">(1) Revenue and margin thresholds are listed in Financial Guardrails document on the </t>
    </r>
    <r>
      <rPr>
        <b/>
        <i/>
        <sz val="11"/>
        <color rgb="FF000000"/>
        <rFont val="MetricHPE Medium"/>
        <family val="2"/>
      </rPr>
      <t>WW SOAR SharePoint</t>
    </r>
  </si>
  <si>
    <t>(2) Refer to Determination of Overall Program Risk Rating for determination of overall risk rating.</t>
  </si>
  <si>
    <t>(3) Special Labour Investment is defined as delivery effort being spend without generating revenue or margin to the organization for none HPE Pointnext organizations or without being properly quoted.</t>
  </si>
  <si>
    <t>(4) Capital: = is an investment or purchase that creates an asset (physical or intangible) that is "capitalized"* on the HPE balance sheet.
In addition, it also includes purchases not directly "capitalized" on the HPE balance sheet, but with depreciation billed directly back to HPE. All HPE deals with CAPEX require WW approval.</t>
  </si>
  <si>
    <r>
      <t>(5) 3</t>
    </r>
    <r>
      <rPr>
        <vertAlign val="superscript"/>
        <sz val="11"/>
        <color rgb="FF000000"/>
        <rFont val="MetricHPE Medium"/>
        <family val="2"/>
      </rPr>
      <t>rd</t>
    </r>
    <r>
      <rPr>
        <sz val="11"/>
        <color rgb="FF000000"/>
        <rFont val="MetricHPE Medium"/>
        <family val="2"/>
      </rPr>
      <t xml:space="preserve"> Party HW or SW is not on the approved 3PP list; Deal exceeds the maximum 80% of 3P HW and SW and minimum of 20% of Pointnext Services relative to overall HPE Pointnext deal value.  Not applicable for non-binding deals.</t>
    </r>
  </si>
  <si>
    <t>Deal Description</t>
  </si>
  <si>
    <t>** 75K 이하 15% 미만 L2 PN GM (이승국 전무님) 승인, 15% 이상 L1 A&amp;PS Biz Mgr (신종민 상무님) 승인</t>
    <phoneticPr fontId="8" type="noConversion"/>
  </si>
  <si>
    <t>17% 이상</t>
    <phoneticPr fontId="8" type="noConversion"/>
  </si>
  <si>
    <t>15% ~ 17%</t>
    <phoneticPr fontId="8" type="noConversion"/>
  </si>
  <si>
    <t>15% 미만</t>
    <phoneticPr fontId="8" type="noConversion"/>
  </si>
  <si>
    <t>Kwon, Hyun Jin</t>
    <phoneticPr fontId="8" type="noConversion"/>
  </si>
  <si>
    <t>Kim, Jung Ahn</t>
    <phoneticPr fontId="8" type="noConversion"/>
  </si>
  <si>
    <t>Assumptions</t>
    <phoneticPr fontId="8" type="noConversion"/>
  </si>
  <si>
    <t>프로젝트 영문</t>
    <phoneticPr fontId="8" type="noConversion"/>
  </si>
  <si>
    <t>프로젝트 개요</t>
    <phoneticPr fontId="8" type="noConversion"/>
  </si>
  <si>
    <t>[Delivery Resource List]</t>
    <phoneticPr fontId="8" type="noConversion"/>
  </si>
  <si>
    <t>Name</t>
    <phoneticPr fontId="8" type="noConversion"/>
  </si>
  <si>
    <t>Phone</t>
    <phoneticPr fontId="8" type="noConversion"/>
  </si>
  <si>
    <t>Mail</t>
    <phoneticPr fontId="8" type="noConversion"/>
  </si>
  <si>
    <t>Chung, Sung Wook</t>
    <phoneticPr fontId="8" type="noConversion"/>
  </si>
  <si>
    <t>Eum, Sung Hwan</t>
    <phoneticPr fontId="8" type="noConversion"/>
  </si>
  <si>
    <t>Han, Hyun Wook</t>
    <phoneticPr fontId="8" type="noConversion"/>
  </si>
  <si>
    <t>Jang, Yong Seon</t>
    <phoneticPr fontId="8" type="noConversion"/>
  </si>
  <si>
    <t>Jeong, Ji Ho</t>
    <phoneticPr fontId="8" type="noConversion"/>
  </si>
  <si>
    <t>Jun, Chang Joong</t>
    <phoneticPr fontId="8" type="noConversion"/>
  </si>
  <si>
    <t>Jung, Sang Sik</t>
    <phoneticPr fontId="8" type="noConversion"/>
  </si>
  <si>
    <t>Kim, Bo Kyum</t>
    <phoneticPr fontId="8" type="noConversion"/>
  </si>
  <si>
    <t>Kim, Min Sung</t>
    <phoneticPr fontId="8" type="noConversion"/>
  </si>
  <si>
    <t>Kim, Young Wook</t>
    <phoneticPr fontId="8" type="noConversion"/>
  </si>
  <si>
    <t>Lee, Dong Jin</t>
    <phoneticPr fontId="8" type="noConversion"/>
  </si>
  <si>
    <t>Lee, Hu Jin</t>
    <phoneticPr fontId="8" type="noConversion"/>
  </si>
  <si>
    <t>Lee, Kae Won</t>
    <phoneticPr fontId="8" type="noConversion"/>
  </si>
  <si>
    <t>Lee, Kyu Il</t>
    <phoneticPr fontId="8" type="noConversion"/>
  </si>
  <si>
    <t>Lim, Seok Woo</t>
    <phoneticPr fontId="8" type="noConversion"/>
  </si>
  <si>
    <t>Moon, Ki Jong</t>
    <phoneticPr fontId="8" type="noConversion"/>
  </si>
  <si>
    <t>Park, Jin Soo</t>
    <phoneticPr fontId="8" type="noConversion"/>
  </si>
  <si>
    <t>Park, Jun Hwan</t>
    <phoneticPr fontId="8" type="noConversion"/>
  </si>
  <si>
    <t>Park, Shin Wook</t>
    <phoneticPr fontId="8" type="noConversion"/>
  </si>
  <si>
    <t>sung-wook.chung@hpe.com</t>
    <phoneticPr fontId="8" type="noConversion"/>
  </si>
  <si>
    <t>sung-hwan.eum@hpe.com</t>
  </si>
  <si>
    <t>yong-seon.jang@hpe.com</t>
  </si>
  <si>
    <t>chang-joong.jun@hpe.com</t>
  </si>
  <si>
    <t>bo-kyum.kim@hpe.com</t>
  </si>
  <si>
    <t>dong-jin.lee@hpe.com</t>
  </si>
  <si>
    <t>hu-jin.lee@hpe.com</t>
  </si>
  <si>
    <t>010-8753-7591</t>
    <phoneticPr fontId="8" type="noConversion"/>
  </si>
  <si>
    <t>010-3906-0291</t>
    <phoneticPr fontId="8" type="noConversion"/>
  </si>
  <si>
    <t>010-4146-3092</t>
    <phoneticPr fontId="8" type="noConversion"/>
  </si>
  <si>
    <t>010-4747-0509</t>
  </si>
  <si>
    <t>010-3789-6257</t>
  </si>
  <si>
    <t>010-2692-3581</t>
  </si>
  <si>
    <t>010-9612-2407</t>
  </si>
  <si>
    <t>010-8547-3854</t>
  </si>
  <si>
    <t>010-9173-6468</t>
  </si>
  <si>
    <t>010-3409-4624</t>
  </si>
  <si>
    <t>010-2049-5964</t>
  </si>
  <si>
    <t>010-6880-7212</t>
  </si>
  <si>
    <t>010-2245-1628</t>
  </si>
  <si>
    <t>010-2762-1454</t>
  </si>
  <si>
    <t>010-5248-2167</t>
  </si>
  <si>
    <t>010-7183-9675</t>
  </si>
  <si>
    <t>010-9342-2636</t>
  </si>
  <si>
    <t>010-3688-1000</t>
  </si>
  <si>
    <t>010-3761-7197</t>
  </si>
  <si>
    <t>010-2581-0613</t>
  </si>
  <si>
    <t>Nam, Seoung Ho</t>
    <phoneticPr fontId="8" type="noConversion"/>
  </si>
  <si>
    <t>hyunwook.han@hpe.com</t>
  </si>
  <si>
    <t>jh.jeong@hpe.com</t>
  </si>
  <si>
    <t>sangsik.jung@hpe.com</t>
  </si>
  <si>
    <t>minsung.kim@hpe.com</t>
  </si>
  <si>
    <t>youngwook.kim@hpe.com</t>
  </si>
  <si>
    <t>kaewon.kee@hpe.com</t>
  </si>
  <si>
    <t>kyu-il.lee@hpe.com</t>
  </si>
  <si>
    <t>seok-woo.lim@hpe.com</t>
  </si>
  <si>
    <t>kjmoon@hpe.com</t>
  </si>
  <si>
    <t>seoung-ho.nam@hpe.com</t>
  </si>
  <si>
    <t>jinsoo.park@hpe.com</t>
  </si>
  <si>
    <t>jun-hwan.park@hpe.com</t>
  </si>
  <si>
    <t>shin-wook.park@hpe.com</t>
  </si>
  <si>
    <t>Technical Soution (Brierfing)
Proposed Solution (DO)
SOW</t>
    <phoneticPr fontId="8" type="noConversion"/>
  </si>
  <si>
    <t>EID</t>
    <phoneticPr fontId="8" type="noConversion"/>
  </si>
  <si>
    <t>Customer</t>
    <phoneticPr fontId="8" type="noConversion"/>
  </si>
  <si>
    <t>PM Name</t>
    <phoneticPr fontId="8" type="noConversion"/>
  </si>
  <si>
    <t>Sales Rep.</t>
    <phoneticPr fontId="8" type="noConversion"/>
  </si>
  <si>
    <t>Oh, Jeong Wook</t>
    <phoneticPr fontId="8" type="noConversion"/>
  </si>
  <si>
    <t>Scope/Engagement Definition</t>
    <phoneticPr fontId="8" type="noConversion"/>
  </si>
  <si>
    <t>Service</t>
  </si>
  <si>
    <t>직급</t>
    <phoneticPr fontId="8" type="noConversion"/>
  </si>
  <si>
    <t>TotalCost</t>
  </si>
  <si>
    <t>Off</t>
  </si>
  <si>
    <t>On</t>
  </si>
  <si>
    <t>Off Cost</t>
  </si>
  <si>
    <t>On Cost</t>
  </si>
  <si>
    <t>`</t>
  </si>
  <si>
    <t>Inflation Rate</t>
  </si>
  <si>
    <t>Total Time</t>
  </si>
  <si>
    <t>23년 1월과 2월은 160 시간으로 계산</t>
  </si>
  <si>
    <t>Park, Shin Wook</t>
  </si>
  <si>
    <t>Deal_ID</t>
  </si>
  <si>
    <t>OPE-0014049354.082622.1139</t>
  </si>
  <si>
    <t>KR3-K###</t>
  </si>
  <si>
    <t>Shinhan Bank</t>
  </si>
  <si>
    <t>Jang, Yong Seon</t>
  </si>
  <si>
    <t>Lee, Jung Heui</t>
  </si>
  <si>
    <t>Average %</t>
  </si>
  <si>
    <t>Product</t>
  </si>
  <si>
    <t>[제안금액]</t>
  </si>
  <si>
    <t>Product DB Integration</t>
  </si>
  <si>
    <t>상품DB 통합</t>
  </si>
  <si>
    <t>3P Service USD</t>
  </si>
  <si>
    <t>service</t>
  </si>
  <si>
    <t>Software</t>
  </si>
  <si>
    <t>Service USD</t>
  </si>
  <si>
    <t>FLGM L2 Standard</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</si>
</sst>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41" formatCode="_-* #,##0_-;\-* #,##0_-;_-* &quot;-&quot;_-;_-@_-"/>
    <numFmt numFmtId="43" formatCode="_-* #,##0.00_-;\-* #,##0.00_-;_-* &quot;-&quot;??_-;_-@_-"/>
    <numFmt numFmtId="164" formatCode="0.0%"/>
    <numFmt numFmtId="165" formatCode="[$$-409]#,##0.00_ ;\-[$$-409]#,##0.00\ "/>
    <numFmt numFmtId="166" formatCode="[$$-409]#,##0_ ;\-[$$-409]#,##0\ "/>
    <numFmt numFmtId="167" formatCode="[$$-409]#,##0.00"/>
    <numFmt numFmtId="168" formatCode="_-* #,##0.0_-;\-* #,##0.0_-;_-* &quot;-&quot;_-;_-@_-"/>
    <numFmt numFmtId="169" formatCode="&quot;₩&quot;#,##0"/>
    <numFmt numFmtId="170" formatCode="0.0000"/>
    <numFmt numFmtId="171" formatCode="_-* #,##0.0_-;\-* #,##0.0_-;_-* &quot;-&quot;?_-;_-@_-"/>
    <numFmt numFmtId="172" formatCode="0.000"/>
    <numFmt numFmtId="173" formatCode="_-* #,##0.000_-;\-* #,##0.000_-;_-* &quot;-&quot;_-;_-@_-"/>
    <numFmt numFmtId="174" formatCode="_(&quot;$&quot;* #,##0_);_(&quot;$&quot;* \(#,##0\);_(&quot;$&quot;* &quot;-&quot;_);_(@_)"/>
    <numFmt numFmtId="175" formatCode="_(&quot;$&quot;* #,##0.00_);_(&quot;$&quot;* \(#,##0.00\);_(&quot;$&quot;* &quot;-&quot;??_);_(@_)"/>
    <numFmt numFmtId="176" formatCode="_-&quot;$&quot;* #,##0.00_-;\-&quot;$&quot;* #,##0.00_-;_-&quot;$&quot;* &quot;-&quot;??_-;_-@_-"/>
    <numFmt numFmtId="177" formatCode="_-* #,##0.0_-;\-* #,##0.0_-;_-* &quot;-&quot;??_-;_-@_-"/>
    <numFmt numFmtId="178" formatCode="0.00_)"/>
    <numFmt numFmtId="179" formatCode="_ &quot;$&quot;* #,##0.00_ ;_ &quot;$&quot;* \-#,##0.00_ ;_ &quot;$&quot;* &quot;-&quot;??_ ;_ @_ "/>
    <numFmt numFmtId="180" formatCode="0.00;[Red]0.00"/>
    <numFmt numFmtId="181" formatCode="_(* #,##0.00000_);_(* \(#,##0.00000\);_(* &quot;-&quot;??_);_(@_)"/>
    <numFmt numFmtId="182" formatCode="&quot;$&quot;#,##0;[Red]&quot;$&quot;#,##0"/>
    <numFmt numFmtId="183" formatCode="#,##0,"/>
  </numFmts>
  <fonts count="62">
    <font>
      <sz val="9"/>
      <color theme="1"/>
      <name val="나눔고딕"/>
      <family val="2"/>
      <charset val="129"/>
    </font>
    <font>
      <sz val="9"/>
      <color theme="1"/>
      <name val="나눔고딕"/>
      <family val="2"/>
      <charset val="129"/>
    </font>
    <font>
      <b/>
      <sz val="9"/>
      <color theme="1"/>
      <name val="나눔고딕"/>
      <family val="3"/>
      <charset val="129"/>
    </font>
    <font>
      <b/>
      <u/>
      <sz val="9"/>
      <color theme="1"/>
      <name val="나눔고딕"/>
      <family val="3"/>
      <charset val="129"/>
    </font>
    <font>
      <b/>
      <u/>
      <sz val="10"/>
      <color theme="1"/>
      <name val="나눔고딕"/>
      <family val="3"/>
      <charset val="129"/>
    </font>
    <font>
      <sz val="9"/>
      <color theme="1"/>
      <name val="나눔고딕"/>
      <family val="3"/>
      <charset val="129"/>
    </font>
    <font>
      <sz val="9"/>
      <color rgb="FF000000"/>
      <name val="나눔고딕"/>
      <family val="3"/>
      <charset val="129"/>
    </font>
    <font>
      <b/>
      <sz val="9"/>
      <color rgb="FF0070C0"/>
      <name val="나눔고딕"/>
      <family val="3"/>
      <charset val="129"/>
    </font>
    <font>
      <sz val="8"/>
      <name val="나눔고딕"/>
      <family val="2"/>
      <charset val="129"/>
    </font>
    <font>
      <b/>
      <sz val="9"/>
      <color rgb="FFFF0000"/>
      <name val="나눔고딕"/>
      <family val="3"/>
      <charset val="129"/>
    </font>
    <font>
      <sz val="9"/>
      <color rgb="FFFF0000"/>
      <name val="나눔고딕"/>
      <family val="2"/>
      <charset val="129"/>
    </font>
    <font>
      <sz val="9"/>
      <color rgb="FF9C0006"/>
      <name val="나눔고딕"/>
      <family val="2"/>
      <charset val="129"/>
    </font>
    <font>
      <b/>
      <sz val="9"/>
      <color theme="1"/>
      <name val="맑은 고딕"/>
      <family val="3"/>
      <charset val="129"/>
    </font>
    <font>
      <b/>
      <sz val="9"/>
      <color rgb="FF0070C0"/>
      <name val="맑은 고딕"/>
      <family val="3"/>
      <charset val="129"/>
    </font>
    <font>
      <b/>
      <sz val="9"/>
      <color rgb="FFFF0000"/>
      <name val="맑은 고딕"/>
      <family val="3"/>
      <charset val="129"/>
    </font>
    <font>
      <b/>
      <sz val="9"/>
      <name val="맑은 고딕"/>
      <family val="3"/>
      <charset val="129"/>
    </font>
    <font>
      <b/>
      <i/>
      <sz val="9"/>
      <color theme="1"/>
      <name val="맑은 고딕"/>
      <family val="3"/>
      <charset val="129"/>
    </font>
    <font>
      <sz val="9"/>
      <name val="맑은 고딕"/>
      <family val="3"/>
      <charset val="129"/>
    </font>
    <font>
      <sz val="9"/>
      <color rgb="FFFF0000"/>
      <name val="맑은 고딕"/>
      <family val="2"/>
      <charset val="129"/>
    </font>
    <font>
      <sz val="9"/>
      <color rgb="FFFF0000"/>
      <name val="맑은 고딕"/>
      <family val="3"/>
      <charset val="129"/>
    </font>
    <font>
      <sz val="9"/>
      <color theme="1"/>
      <name val="MetricHPE Medium"/>
      <family val="2"/>
    </font>
    <font>
      <sz val="12"/>
      <color rgb="FF000000"/>
      <name val="MetricHPE Semibold"/>
      <family val="2"/>
    </font>
    <font>
      <sz val="10"/>
      <color theme="1"/>
      <name val="MetricHPE Light"/>
      <family val="2"/>
    </font>
    <font>
      <b/>
      <sz val="10"/>
      <color rgb="FF000000"/>
      <name val="MetricHPE Semibold"/>
      <family val="2"/>
    </font>
    <font>
      <sz val="10"/>
      <color rgb="FF000000"/>
      <name val="MetricHPE Medium"/>
      <family val="2"/>
    </font>
    <font>
      <sz val="11"/>
      <color rgb="FF000000"/>
      <name val="MetricHPE Medium"/>
      <family val="2"/>
    </font>
    <font>
      <sz val="11"/>
      <color rgb="FFFF0000"/>
      <name val="MetricHPE Medium"/>
      <family val="2"/>
    </font>
    <font>
      <sz val="11"/>
      <name val="MetricHPE Medium"/>
      <family val="2"/>
    </font>
    <font>
      <b/>
      <i/>
      <sz val="11"/>
      <color rgb="FF000000"/>
      <name val="MetricHPE Medium"/>
      <family val="2"/>
    </font>
    <font>
      <vertAlign val="superscript"/>
      <sz val="11"/>
      <color rgb="FF000000"/>
      <name val="MetricHPE Medium"/>
      <family val="2"/>
    </font>
    <font>
      <b/>
      <sz val="9"/>
      <name val="나눔고딕"/>
      <family val="3"/>
      <charset val="129"/>
    </font>
    <font>
      <sz val="11"/>
      <color theme="1"/>
      <name val="Calibri"/>
      <family val="2"/>
      <charset val="129"/>
      <scheme val="minor"/>
    </font>
    <font>
      <sz val="11"/>
      <color theme="1"/>
      <name val="Calibri"/>
      <family val="2"/>
      <scheme val="minor"/>
    </font>
    <font>
      <sz val="11"/>
      <color rgb="FF006100"/>
      <name val="Calibri"/>
      <family val="2"/>
      <charset val="129"/>
      <scheme val="minor"/>
    </font>
    <font>
      <sz val="11"/>
      <color theme="0"/>
      <name val="Calibri"/>
      <family val="2"/>
      <charset val="129"/>
      <scheme val="minor"/>
    </font>
    <font>
      <sz val="11"/>
      <color theme="1"/>
      <name val="Calibri"/>
      <family val="3"/>
      <charset val="129"/>
      <scheme val="minor"/>
    </font>
    <font>
      <sz val="10"/>
      <name val="Trebuchet MS"/>
      <family val="2"/>
    </font>
    <font>
      <sz val="10"/>
      <name val="Arial"/>
      <family val="2"/>
    </font>
    <font>
      <sz val="8"/>
      <name val="Arial"/>
      <family val="2"/>
    </font>
    <font>
      <b/>
      <sz val="8"/>
      <name val="Arial"/>
      <family val="2"/>
    </font>
    <font>
      <b/>
      <sz val="10"/>
      <name val="Arial"/>
      <family val="2"/>
    </font>
    <font>
      <sz val="10"/>
      <color indexed="8"/>
      <name val="Arial"/>
      <family val="2"/>
    </font>
    <font>
      <b/>
      <sz val="14"/>
      <name val="Arial"/>
      <family val="2"/>
    </font>
    <font>
      <b/>
      <sz val="12"/>
      <name val="Arial"/>
      <family val="2"/>
    </font>
    <font>
      <sz val="20"/>
      <name val="HP Logo LG"/>
      <charset val="2"/>
    </font>
    <font>
      <b/>
      <i/>
      <sz val="16"/>
      <name val="Helv"/>
      <family val="2"/>
    </font>
    <font>
      <b/>
      <sz val="10"/>
      <color indexed="12"/>
      <name val="Times New Roman"/>
      <family val="1"/>
    </font>
    <font>
      <sz val="10"/>
      <color indexed="12"/>
      <name val="Arial"/>
      <family val="2"/>
    </font>
    <font>
      <sz val="10"/>
      <color indexed="8"/>
      <name val="MS Sans Serif"/>
      <family val="2"/>
    </font>
    <font>
      <sz val="11"/>
      <color indexed="8"/>
      <name val="Calibri"/>
      <family val="2"/>
    </font>
    <font>
      <sz val="10"/>
      <color rgb="FF006100"/>
      <name val="Arial Unicode MS"/>
      <family val="2"/>
    </font>
    <font>
      <sz val="9"/>
      <color theme="1"/>
      <name val="宋体"/>
      <family val="3"/>
      <charset val="134"/>
    </font>
    <font>
      <sz val="11"/>
      <color theme="1"/>
      <name val="Calibri"/>
      <family val="2"/>
      <charset val="128"/>
      <scheme val="minor"/>
    </font>
    <font>
      <u/>
      <sz val="10"/>
      <color indexed="12"/>
      <name val="Arial"/>
      <family val="2"/>
    </font>
    <font>
      <sz val="12"/>
      <name val="宋体"/>
      <charset val="134"/>
    </font>
    <font>
      <b/>
      <sz val="12"/>
      <name val="宋体"/>
      <charset val="134"/>
    </font>
    <font>
      <sz val="10"/>
      <name val="Helv"/>
      <family val="2"/>
    </font>
    <font>
      <b/>
      <sz val="11"/>
      <color rgb="FF9C0006"/>
      <name val="Calibri"/>
      <family val="2"/>
    </font>
    <font>
      <b/>
      <sz val="11"/>
      <color rgb="FF006100"/>
      <name val="Calibri"/>
      <family val="2"/>
    </font>
    <font>
      <b/>
      <sz val="11"/>
      <color theme="1"/>
      <name val="맑은 고딕"/>
      <family val="3"/>
      <charset val="129"/>
    </font>
    <font>
      <b/>
      <sz val="9"/>
      <color theme="0"/>
      <name val="나눔고딕"/>
      <family val="3"/>
      <charset val="129"/>
    </font>
    <font>
      <b/>
      <u/>
      <sz val="12"/>
      <color theme="1"/>
      <name val="나눔고딕"/>
      <family val="3"/>
      <charset val="129"/>
    </font>
  </fonts>
  <fills count="16">
    <fill>
      <patternFill patternType="none"/>
    </fill>
    <fill>
      <patternFill patternType="gray125"/>
    </fill>
    <fill>
      <patternFill patternType="solid">
        <fgColor theme="7" tint="0.79998168889431442"/>
        <bgColor indexed="64"/>
      </patternFill>
    </fill>
    <fill>
      <patternFill patternType="solid">
        <fgColor theme="0" tint="-4.9989318521683403E-2"/>
        <bgColor indexed="64"/>
      </patternFill>
    </fill>
    <fill>
      <patternFill patternType="solid">
        <fgColor rgb="FFFFFFEB"/>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EFF6FB"/>
        <bgColor indexed="64"/>
      </patternFill>
    </fill>
    <fill>
      <patternFill patternType="solid">
        <fgColor theme="2"/>
        <bgColor indexed="64"/>
      </patternFill>
    </fill>
    <fill>
      <patternFill patternType="solid">
        <fgColor rgb="FFD9D9D9"/>
        <bgColor indexed="64"/>
      </patternFill>
    </fill>
    <fill>
      <patternFill patternType="solid">
        <fgColor rgb="FFF2F2F2"/>
        <bgColor indexed="64"/>
      </patternFill>
    </fill>
    <fill>
      <patternFill patternType="solid">
        <fgColor rgb="FFC6EFCE"/>
      </patternFill>
    </fill>
    <fill>
      <patternFill patternType="solid">
        <fgColor rgb="FFFFC7CE"/>
      </patternFill>
    </fill>
    <fill>
      <patternFill patternType="solid">
        <fgColor theme="4"/>
      </patternFill>
    </fill>
    <fill>
      <patternFill patternType="solid">
        <fgColor indexed="42"/>
        <bgColor indexed="42"/>
      </patternFill>
    </fill>
    <fill>
      <patternFill patternType="solid">
        <fgColor rgb="FF002060"/>
        <bgColor indexed="64"/>
      </patternFill>
    </fill>
  </fills>
  <borders count="101">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top style="medium">
        <color indexed="64"/>
      </top>
      <bottom style="thin">
        <color theme="0" tint="-0.34998626667073579"/>
      </bottom>
      <diagonal/>
    </border>
    <border>
      <left style="medium">
        <color indexed="64"/>
      </left>
      <right/>
      <top style="medium">
        <color indexed="64"/>
      </top>
      <bottom style="thin">
        <color theme="0" tint="-0.3499862666707357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theme="0" tint="-0.34998626667073579"/>
      </right>
      <top style="medium">
        <color indexed="64"/>
      </top>
      <bottom style="thin">
        <color theme="0" tint="-0.34998626667073579"/>
      </bottom>
      <diagonal/>
    </border>
    <border>
      <left/>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medium">
        <color indexed="64"/>
      </left>
      <right/>
      <top style="thin">
        <color theme="0" tint="-0.34998626667073579"/>
      </top>
      <bottom style="thin">
        <color indexed="64"/>
      </bottom>
      <diagonal/>
    </border>
    <border>
      <left/>
      <right style="medium">
        <color indexed="64"/>
      </right>
      <top style="thin">
        <color theme="0" tint="-0.34998626667073579"/>
      </top>
      <bottom style="thin">
        <color indexed="64"/>
      </bottom>
      <diagonal/>
    </border>
    <border>
      <left style="medium">
        <color indexed="64"/>
      </left>
      <right style="thin">
        <color theme="0" tint="-0.34998626667073579"/>
      </right>
      <top style="thin">
        <color theme="1" tint="0.499984740745262"/>
      </top>
      <bottom style="thin">
        <color indexed="64"/>
      </bottom>
      <diagonal/>
    </border>
    <border>
      <left/>
      <right/>
      <top style="thin">
        <color theme="1" tint="0.499984740745262"/>
      </top>
      <bottom style="thin">
        <color indexed="64"/>
      </bottom>
      <diagonal/>
    </border>
    <border>
      <left style="thin">
        <color theme="0" tint="-0.34998626667073579"/>
      </left>
      <right/>
      <top style="thin">
        <color theme="1" tint="0.499984740745262"/>
      </top>
      <bottom style="thin">
        <color indexed="64"/>
      </bottom>
      <diagonal/>
    </border>
    <border>
      <left style="medium">
        <color theme="1"/>
      </left>
      <right style="thin">
        <color theme="0" tint="-0.34998626667073579"/>
      </right>
      <top style="thin">
        <color theme="1" tint="0.499984740745262"/>
      </top>
      <bottom style="thin">
        <color indexed="64"/>
      </bottom>
      <diagonal/>
    </border>
    <border>
      <left style="thin">
        <color theme="0" tint="-0.34998626667073579"/>
      </left>
      <right style="medium">
        <color indexed="64"/>
      </right>
      <top style="thin">
        <color theme="1" tint="0.499984740745262"/>
      </top>
      <bottom style="thin">
        <color indexed="64"/>
      </bottom>
      <diagonal/>
    </border>
    <border>
      <left/>
      <right style="thin">
        <color theme="0" tint="-0.34998626667073579"/>
      </right>
      <top/>
      <bottom style="thin">
        <color indexed="64"/>
      </bottom>
      <diagonal/>
    </border>
    <border>
      <left/>
      <right/>
      <top/>
      <bottom style="thin">
        <color indexed="64"/>
      </bottom>
      <diagonal/>
    </border>
    <border>
      <left style="thin">
        <color theme="0" tint="-0.34998626667073579"/>
      </left>
      <right style="medium">
        <color indexed="64"/>
      </right>
      <top/>
      <bottom style="thin">
        <color indexed="64"/>
      </bottom>
      <diagonal/>
    </border>
    <border>
      <left style="medium">
        <color indexed="64"/>
      </left>
      <right/>
      <top style="thin">
        <color indexed="64"/>
      </top>
      <bottom style="thin">
        <color theme="1" tint="0.499984740745262"/>
      </bottom>
      <diagonal/>
    </border>
    <border>
      <left/>
      <right style="medium">
        <color indexed="64"/>
      </right>
      <top style="thin">
        <color indexed="64"/>
      </top>
      <bottom style="thin">
        <color theme="1" tint="0.499984740745262"/>
      </bottom>
      <diagonal/>
    </border>
    <border>
      <left style="medium">
        <color indexed="64"/>
      </left>
      <right/>
      <top/>
      <bottom style="thin">
        <color theme="0" tint="-0.34998626667073579"/>
      </bottom>
      <diagonal/>
    </border>
    <border>
      <left style="medium">
        <color indexed="64"/>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medium">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medium">
        <color indexed="64"/>
      </right>
      <top style="thin">
        <color indexed="64"/>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medium">
        <color indexed="64"/>
      </right>
      <top/>
      <bottom style="thin">
        <color theme="0" tint="-0.34998626667073579"/>
      </bottom>
      <diagonal/>
    </border>
    <border>
      <left style="medium">
        <color indexed="64"/>
      </left>
      <right style="thin">
        <color theme="0" tint="-0.34998626667073579"/>
      </right>
      <top style="thin">
        <color theme="1" tint="0.499984740745262"/>
      </top>
      <bottom/>
      <diagonal/>
    </border>
    <border>
      <left style="thin">
        <color theme="0" tint="-0.34998626667073579"/>
      </left>
      <right style="medium">
        <color indexed="64"/>
      </right>
      <top style="thin">
        <color theme="1" tint="0.499984740745262"/>
      </top>
      <bottom/>
      <diagonal/>
    </border>
    <border>
      <left style="medium">
        <color indexed="64"/>
      </left>
      <right/>
      <top/>
      <bottom/>
      <diagonal/>
    </border>
    <border>
      <left style="medium">
        <color indexed="64"/>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top/>
      <bottom/>
      <diagonal/>
    </border>
    <border>
      <left style="thin">
        <color theme="0" tint="-0.34998626667073579"/>
      </left>
      <right/>
      <top style="thin">
        <color indexed="64"/>
      </top>
      <bottom style="thin">
        <color theme="0" tint="-0.34998626667073579"/>
      </bottom>
      <diagonal/>
    </border>
    <border>
      <left style="medium">
        <color indexed="64"/>
      </left>
      <right/>
      <top style="thin">
        <color indexed="64"/>
      </top>
      <bottom style="thin">
        <color theme="0" tint="-0.34998626667073579"/>
      </bottom>
      <diagonal/>
    </border>
    <border>
      <left/>
      <right style="thin">
        <color theme="0" tint="-0.34998626667073579"/>
      </right>
      <top style="thin">
        <color indexed="64"/>
      </top>
      <bottom style="thin">
        <color theme="0" tint="-0.34998626667073579"/>
      </bottom>
      <diagonal/>
    </border>
    <border>
      <left style="medium">
        <color indexed="64"/>
      </left>
      <right style="thin">
        <color theme="0" tint="-0.34998626667073579"/>
      </right>
      <top style="thin">
        <color theme="0" tint="-0.34998626667073579"/>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style="medium">
        <color indexed="64"/>
      </left>
      <right style="thin">
        <color theme="0" tint="-0.34998626667073579"/>
      </right>
      <top style="thin">
        <color theme="0" tint="-0.34998626667073579"/>
      </top>
      <bottom style="thin">
        <color theme="0" tint="-0.34998626667073579"/>
      </bottom>
      <diagonal/>
    </border>
    <border>
      <left style="medium">
        <color indexed="64"/>
      </left>
      <right/>
      <top style="thin">
        <color theme="0" tint="-0.34998626667073579"/>
      </top>
      <bottom style="thin">
        <color theme="0" tint="-0.34998626667073579"/>
      </bottom>
      <diagonal/>
    </border>
    <border>
      <left/>
      <right style="medium">
        <color indexed="64"/>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top style="thin">
        <color theme="0" tint="-0.34998626667073579"/>
      </top>
      <bottom/>
      <diagonal/>
    </border>
    <border>
      <left style="thin">
        <color theme="0" tint="-0.34998626667073579"/>
      </left>
      <right style="medium">
        <color indexed="64"/>
      </right>
      <top style="thin">
        <color theme="0" tint="-0.34998626667073579"/>
      </top>
      <bottom/>
      <diagonal/>
    </border>
    <border>
      <left/>
      <right style="thin">
        <color theme="0" tint="-0.34998626667073579"/>
      </right>
      <top style="thin">
        <color theme="0" tint="-0.34998626667073579"/>
      </top>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thin">
        <color theme="0" tint="-0.34998626667073579"/>
      </left>
      <right style="thin">
        <color theme="0" tint="-0.34998626667073579"/>
      </right>
      <top style="medium">
        <color indexed="64"/>
      </top>
      <bottom style="thin">
        <color theme="0" tint="-0.34998626667073579"/>
      </bottom>
      <diagonal/>
    </border>
    <border>
      <left style="medium">
        <color indexed="64"/>
      </left>
      <right/>
      <top style="thin">
        <color theme="0" tint="-0.34998626667073579"/>
      </top>
      <bottom style="medium">
        <color indexed="64"/>
      </bottom>
      <diagonal/>
    </border>
    <border>
      <left/>
      <right style="thin">
        <color theme="0" tint="-0.34998626667073579"/>
      </right>
      <top style="thin">
        <color theme="0" tint="-0.34998626667073579"/>
      </top>
      <bottom style="medium">
        <color indexed="64"/>
      </bottom>
      <diagonal/>
    </border>
    <border>
      <left/>
      <right/>
      <top/>
      <bottom style="thin">
        <color theme="0" tint="-0.3499862666707357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theme="1" tint="0.499984740745262"/>
      </right>
      <top style="medium">
        <color indexed="64"/>
      </top>
      <bottom style="medium">
        <color indexed="64"/>
      </bottom>
      <diagonal/>
    </border>
    <border>
      <left style="thin">
        <color theme="1" tint="0.499984740745262"/>
      </left>
      <right/>
      <top style="medium">
        <color indexed="64"/>
      </top>
      <bottom style="medium">
        <color indexed="64"/>
      </bottom>
      <diagonal/>
    </border>
    <border>
      <left style="medium">
        <color indexed="64"/>
      </left>
      <right style="thin">
        <color theme="1" tint="0.499984740745262"/>
      </right>
      <top style="medium">
        <color indexed="64"/>
      </top>
      <bottom style="thin">
        <color theme="1" tint="0.499984740745262"/>
      </bottom>
      <diagonal/>
    </border>
    <border>
      <left style="thin">
        <color theme="1" tint="0.499984740745262"/>
      </left>
      <right/>
      <top style="medium">
        <color indexed="64"/>
      </top>
      <bottom style="thin">
        <color theme="1" tint="0.499984740745262"/>
      </bottom>
      <diagonal/>
    </border>
    <border>
      <left style="thin">
        <color theme="1" tint="0.499984740745262"/>
      </left>
      <right style="thin">
        <color theme="1" tint="0.499984740745262"/>
      </right>
      <top style="medium">
        <color indexed="64"/>
      </top>
      <bottom style="thin">
        <color theme="1" tint="0.499984740745262"/>
      </bottom>
      <diagonal/>
    </border>
    <border>
      <left style="thin">
        <color theme="1" tint="0.499984740745262"/>
      </left>
      <right style="medium">
        <color indexed="64"/>
      </right>
      <top style="medium">
        <color indexed="64"/>
      </top>
      <bottom style="thin">
        <color theme="1" tint="0.499984740745262"/>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theme="1" tint="0.499984740745262"/>
      </right>
      <top style="thin">
        <color theme="1" tint="0.499984740745262"/>
      </top>
      <bottom style="medium">
        <color indexed="64"/>
      </bottom>
      <diagonal/>
    </border>
    <border>
      <left style="thin">
        <color theme="1" tint="0.499984740745262"/>
      </left>
      <right/>
      <top style="thin">
        <color theme="1" tint="0.499984740745262"/>
      </top>
      <bottom style="medium">
        <color indexed="64"/>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1" tint="0.499984740745262"/>
      </left>
      <right style="medium">
        <color indexed="64"/>
      </right>
      <top style="thin">
        <color theme="1" tint="0.499984740745262"/>
      </top>
      <bottom style="medium">
        <color indexed="64"/>
      </bottom>
      <diagonal/>
    </border>
    <border>
      <left style="medium">
        <color indexed="64"/>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indexed="64"/>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medium">
        <color indexed="64"/>
      </bottom>
      <diagonal/>
    </border>
    <border>
      <left/>
      <right style="medium">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34998626667073579"/>
      </left>
      <right style="thin">
        <color theme="0" tint="-0.249977111117893"/>
      </right>
      <top style="thin">
        <color theme="0" tint="-0.34998626667073579"/>
      </top>
      <bottom/>
      <diagonal/>
    </border>
    <border>
      <left style="thin">
        <color theme="0" tint="-0.34998626667073579"/>
      </left>
      <right style="thin">
        <color theme="0" tint="-0.249977111117893"/>
      </right>
      <top/>
      <bottom/>
      <diagonal/>
    </border>
    <border>
      <left style="thin">
        <color theme="0" tint="-0.34998626667073579"/>
      </left>
      <right style="thin">
        <color theme="0" tint="-0.249977111117893"/>
      </right>
      <top/>
      <bottom style="thin">
        <color theme="0" tint="-0.34998626667073579"/>
      </bottom>
      <diagonal/>
    </border>
    <border>
      <left style="double">
        <color indexed="64"/>
      </left>
      <right/>
      <top style="double">
        <color indexed="64"/>
      </top>
      <bottom/>
      <diagonal/>
    </border>
    <border>
      <left/>
      <right/>
      <top style="thin">
        <color indexed="64"/>
      </top>
      <bottom style="thin">
        <color indexed="64"/>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s>
  <cellStyleXfs count="166">
    <xf numFmtId="0" fontId="0" fillId="0" borderId="0"/>
    <xf numFmtId="41"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31" fillId="0" borderId="0">
      <alignment vertical="center"/>
    </xf>
    <xf numFmtId="41" fontId="31" fillId="0" borderId="0" applyFont="0" applyFill="0" applyBorder="0" applyAlignment="0" applyProtection="0">
      <alignment vertical="center"/>
    </xf>
    <xf numFmtId="9" fontId="31" fillId="0" borderId="0" applyFont="0" applyFill="0" applyBorder="0" applyAlignment="0" applyProtection="0">
      <alignment vertical="center"/>
    </xf>
    <xf numFmtId="0" fontId="33" fillId="11" borderId="0" applyNumberFormat="0" applyBorder="0" applyAlignment="0" applyProtection="0">
      <alignment vertical="center"/>
    </xf>
    <xf numFmtId="0" fontId="34" fillId="13" borderId="0" applyNumberFormat="0" applyBorder="0" applyAlignment="0" applyProtection="0">
      <alignment vertical="center"/>
    </xf>
    <xf numFmtId="0" fontId="36" fillId="0" borderId="0"/>
    <xf numFmtId="0" fontId="48" fillId="0" borderId="0"/>
    <xf numFmtId="0" fontId="37" fillId="0" borderId="0" applyFill="0" applyBorder="0" applyAlignment="0"/>
    <xf numFmtId="0" fontId="37" fillId="0" borderId="0" applyFill="0" applyBorder="0" applyAlignment="0"/>
    <xf numFmtId="182" fontId="37" fillId="0" borderId="0" applyFill="0" applyBorder="0" applyAlignment="0"/>
    <xf numFmtId="180" fontId="37" fillId="0" borderId="0" applyFill="0" applyBorder="0" applyAlignment="0"/>
    <xf numFmtId="183" fontId="37" fillId="0" borderId="0" applyFill="0" applyBorder="0" applyAlignment="0"/>
    <xf numFmtId="0" fontId="37" fillId="0" borderId="0" applyFill="0" applyBorder="0" applyAlignment="0"/>
    <xf numFmtId="181" fontId="37" fillId="0" borderId="0" applyFill="0" applyBorder="0" applyAlignment="0"/>
    <xf numFmtId="0" fontId="37" fillId="0" borderId="0" applyFill="0" applyBorder="0" applyAlignment="0"/>
    <xf numFmtId="43" fontId="37" fillId="0" borderId="0" applyFont="0" applyFill="0" applyBorder="0" applyAlignment="0" applyProtection="0"/>
    <xf numFmtId="0"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176" fontId="37" fillId="0" borderId="0" applyFont="0" applyFill="0" applyBorder="0" applyAlignment="0" applyProtection="0"/>
    <xf numFmtId="0" fontId="37" fillId="0" borderId="0" applyFont="0" applyFill="0" applyBorder="0" applyAlignment="0" applyProtection="0"/>
    <xf numFmtId="176" fontId="37" fillId="0" borderId="0" applyFont="0" applyFill="0" applyBorder="0" applyAlignment="0" applyProtection="0"/>
    <xf numFmtId="176" fontId="37" fillId="0" borderId="0" applyFont="0" applyFill="0" applyBorder="0" applyAlignment="0" applyProtection="0"/>
    <xf numFmtId="176" fontId="37" fillId="0" borderId="0" applyFont="0" applyFill="0" applyBorder="0" applyAlignment="0" applyProtection="0"/>
    <xf numFmtId="176" fontId="37" fillId="0" borderId="0" applyFont="0" applyFill="0" applyBorder="0" applyAlignment="0" applyProtection="0"/>
    <xf numFmtId="176" fontId="37" fillId="0" borderId="0" applyFont="0" applyFill="0" applyBorder="0" applyAlignment="0" applyProtection="0"/>
    <xf numFmtId="14" fontId="41" fillId="0" borderId="0" applyFill="0" applyBorder="0" applyAlignment="0"/>
    <xf numFmtId="0" fontId="37" fillId="0" borderId="0" applyFill="0" applyBorder="0" applyAlignment="0"/>
    <xf numFmtId="0" fontId="37" fillId="0" borderId="0" applyFill="0" applyBorder="0" applyAlignment="0"/>
    <xf numFmtId="0" fontId="37" fillId="0" borderId="0" applyFill="0" applyBorder="0" applyAlignment="0"/>
    <xf numFmtId="181" fontId="37" fillId="0" borderId="0" applyFill="0" applyBorder="0" applyAlignment="0"/>
    <xf numFmtId="0" fontId="37" fillId="0" borderId="0" applyFill="0" applyBorder="0" applyAlignment="0"/>
    <xf numFmtId="0" fontId="50" fillId="11" borderId="0" applyNumberFormat="0" applyBorder="0" applyAlignment="0" applyProtection="0"/>
    <xf numFmtId="0" fontId="50" fillId="11" borderId="0" applyNumberFormat="0" applyBorder="0" applyAlignment="0" applyProtection="0"/>
    <xf numFmtId="0" fontId="40" fillId="0" borderId="95" applyFill="0" applyBorder="0"/>
    <xf numFmtId="0" fontId="38" fillId="0" borderId="95" applyBorder="0">
      <alignment horizontal="center" vertical="center"/>
    </xf>
    <xf numFmtId="0" fontId="42" fillId="0" borderId="95" applyBorder="0">
      <alignment horizontal="center" vertical="center"/>
    </xf>
    <xf numFmtId="0" fontId="43" fillId="0" borderId="68" applyNumberFormat="0" applyAlignment="0" applyProtection="0">
      <alignment horizontal="left" vertical="center"/>
    </xf>
    <xf numFmtId="0" fontId="43" fillId="0" borderId="96">
      <alignment horizontal="left" vertical="center"/>
    </xf>
    <xf numFmtId="0" fontId="43" fillId="0" borderId="0" applyFill="0" applyBorder="0" applyAlignment="0">
      <alignment vertical="center"/>
    </xf>
    <xf numFmtId="0" fontId="43" fillId="0" borderId="0" applyFill="0" applyBorder="0" applyAlignment="0">
      <alignment vertical="center"/>
    </xf>
    <xf numFmtId="0" fontId="44" fillId="0" borderId="95" applyBorder="0">
      <alignment horizontal="center" vertical="center"/>
    </xf>
    <xf numFmtId="0" fontId="37" fillId="0" borderId="0" applyFill="0" applyBorder="0" applyAlignment="0"/>
    <xf numFmtId="0" fontId="37" fillId="0" borderId="0" applyFill="0" applyBorder="0" applyAlignment="0"/>
    <xf numFmtId="0" fontId="37" fillId="0" borderId="0" applyFill="0" applyBorder="0" applyAlignment="0"/>
    <xf numFmtId="181" fontId="37" fillId="0" borderId="0" applyFill="0" applyBorder="0" applyAlignment="0"/>
    <xf numFmtId="0" fontId="37" fillId="0" borderId="0" applyFill="0" applyBorder="0" applyAlignment="0"/>
    <xf numFmtId="178" fontId="45" fillId="0" borderId="0"/>
    <xf numFmtId="0" fontId="36" fillId="0" borderId="0"/>
    <xf numFmtId="0" fontId="36" fillId="0" borderId="0"/>
    <xf numFmtId="0" fontId="49" fillId="0" borderId="0"/>
    <xf numFmtId="0" fontId="36" fillId="0" borderId="0"/>
    <xf numFmtId="0" fontId="36" fillId="0" borderId="0"/>
    <xf numFmtId="0" fontId="36" fillId="0" borderId="0"/>
    <xf numFmtId="0" fontId="36" fillId="0" borderId="0"/>
    <xf numFmtId="0" fontId="51" fillId="0" borderId="0">
      <alignment vertical="center"/>
    </xf>
    <xf numFmtId="9" fontId="37" fillId="0" borderId="0" applyFont="0" applyFill="0" applyBorder="0" applyAlignment="0" applyProtection="0"/>
    <xf numFmtId="183" fontId="37" fillId="0" borderId="0" applyFont="0" applyFill="0" applyBorder="0" applyAlignment="0" applyProtection="0"/>
    <xf numFmtId="177"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0" fontId="37" fillId="0" borderId="0" applyFill="0" applyBorder="0" applyAlignment="0"/>
    <xf numFmtId="0" fontId="37" fillId="0" borderId="0" applyFill="0" applyBorder="0" applyAlignment="0"/>
    <xf numFmtId="0" fontId="37" fillId="0" borderId="0" applyFill="0" applyBorder="0" applyAlignment="0"/>
    <xf numFmtId="181" fontId="37" fillId="0" borderId="0" applyFill="0" applyBorder="0" applyAlignment="0"/>
    <xf numFmtId="0" fontId="37" fillId="0" borderId="0" applyFill="0" applyBorder="0" applyAlignment="0"/>
    <xf numFmtId="0" fontId="46" fillId="0" borderId="97" applyNumberFormat="0" applyFill="0" applyBorder="0">
      <alignment horizontal="centerContinuous" vertical="center" wrapText="1"/>
      <protection locked="0"/>
    </xf>
    <xf numFmtId="0" fontId="40" fillId="14" borderId="98" applyFill="0" applyBorder="0">
      <alignment horizontal="left" vertical="center"/>
    </xf>
    <xf numFmtId="0" fontId="40" fillId="14" borderId="98" applyFill="0" applyBorder="0">
      <alignment horizontal="center" vertical="center"/>
    </xf>
    <xf numFmtId="0" fontId="40" fillId="14" borderId="99" applyNumberFormat="0" applyFill="0" applyBorder="0" applyProtection="0">
      <alignment horizontal="centerContinuous"/>
    </xf>
    <xf numFmtId="0" fontId="47" fillId="0" borderId="97" applyFill="0" applyBorder="0" applyProtection="0">
      <alignment vertical="center"/>
      <protection locked="0"/>
    </xf>
    <xf numFmtId="0" fontId="38" fillId="0" borderId="0" applyFill="0" applyBorder="0">
      <alignment vertical="center"/>
    </xf>
    <xf numFmtId="0" fontId="39" fillId="14" borderId="100" applyFill="0" applyBorder="0" applyAlignment="0">
      <alignment horizontal="center" vertical="center"/>
    </xf>
    <xf numFmtId="0" fontId="38" fillId="0" borderId="0" applyFill="0" applyBorder="0">
      <alignment horizontal="centerContinuous" vertical="center"/>
    </xf>
    <xf numFmtId="0" fontId="40" fillId="0" borderId="0" applyNumberFormat="0" applyFill="0" applyBorder="0">
      <alignment vertical="center"/>
    </xf>
    <xf numFmtId="49" fontId="41" fillId="0" borderId="0" applyFill="0" applyBorder="0" applyAlignment="0"/>
    <xf numFmtId="0" fontId="37" fillId="0" borderId="0" applyFill="0" applyBorder="0" applyAlignment="0"/>
    <xf numFmtId="0" fontId="37" fillId="0" borderId="0" applyFill="0" applyBorder="0" applyAlignment="0"/>
    <xf numFmtId="0" fontId="37" fillId="0" borderId="0" applyFont="0" applyFill="0" applyBorder="0" applyAlignment="0" applyProtection="0"/>
    <xf numFmtId="0" fontId="37" fillId="0" borderId="0" applyFont="0" applyFill="0" applyBorder="0" applyAlignment="0" applyProtection="0"/>
    <xf numFmtId="0" fontId="37" fillId="0" borderId="0"/>
    <xf numFmtId="179" fontId="37" fillId="0" borderId="0" applyFont="0" applyFill="0" applyBorder="0" applyAlignment="0" applyProtection="0"/>
    <xf numFmtId="0" fontId="37" fillId="0" borderId="0" applyFont="0" applyFill="0" applyBorder="0" applyAlignment="0" applyProtection="0"/>
    <xf numFmtId="43" fontId="37" fillId="0" borderId="0" applyFont="0" applyFill="0" applyBorder="0" applyAlignment="0" applyProtection="0"/>
    <xf numFmtId="43" fontId="32"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176" fontId="37" fillId="0" borderId="0" applyFont="0" applyFill="0" applyBorder="0" applyAlignment="0" applyProtection="0"/>
    <xf numFmtId="176" fontId="37" fillId="0" borderId="0" applyFont="0" applyFill="0" applyBorder="0" applyAlignment="0" applyProtection="0"/>
    <xf numFmtId="176" fontId="37" fillId="0" borderId="0" applyFont="0" applyFill="0" applyBorder="0" applyAlignment="0" applyProtection="0"/>
    <xf numFmtId="176" fontId="37" fillId="0" borderId="0" applyFont="0" applyFill="0" applyBorder="0" applyAlignment="0" applyProtection="0"/>
    <xf numFmtId="0" fontId="50" fillId="11" borderId="0" applyNumberFormat="0" applyBorder="0" applyAlignment="0" applyProtection="0"/>
    <xf numFmtId="0" fontId="43" fillId="0" borderId="0" applyFill="0" applyBorder="0" applyAlignment="0">
      <alignment vertical="center"/>
    </xf>
    <xf numFmtId="0" fontId="36" fillId="0" borderId="0"/>
    <xf numFmtId="0" fontId="36" fillId="0" borderId="0"/>
    <xf numFmtId="0" fontId="36" fillId="0" borderId="0"/>
    <xf numFmtId="0" fontId="32" fillId="0" borderId="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0" fontId="43" fillId="0" borderId="68" applyNumberFormat="0" applyAlignment="0" applyProtection="0">
      <alignment horizontal="left" vertical="center"/>
    </xf>
    <xf numFmtId="0" fontId="43" fillId="0" borderId="68" applyNumberFormat="0" applyAlignment="0" applyProtection="0">
      <alignment horizontal="left" vertical="center"/>
    </xf>
    <xf numFmtId="0" fontId="32" fillId="0" borderId="0"/>
    <xf numFmtId="0" fontId="41" fillId="0" borderId="0"/>
    <xf numFmtId="0" fontId="52" fillId="0" borderId="0"/>
    <xf numFmtId="0" fontId="32" fillId="0" borderId="0"/>
    <xf numFmtId="0" fontId="37" fillId="0" borderId="0"/>
    <xf numFmtId="0" fontId="32" fillId="0" borderId="0"/>
    <xf numFmtId="0" fontId="36" fillId="0" borderId="0"/>
    <xf numFmtId="43" fontId="37" fillId="0" borderId="0" applyFont="0" applyFill="0" applyBorder="0" applyAlignment="0" applyProtection="0"/>
    <xf numFmtId="176" fontId="37" fillId="0" borderId="0" applyFont="0" applyFill="0" applyBorder="0" applyAlignment="0" applyProtection="0"/>
    <xf numFmtId="0" fontId="50" fillId="11" borderId="0" applyNumberFormat="0" applyBorder="0" applyAlignment="0" applyProtection="0"/>
    <xf numFmtId="0" fontId="43" fillId="0" borderId="0" applyFill="0" applyBorder="0" applyAlignment="0">
      <alignment vertical="center"/>
    </xf>
    <xf numFmtId="0" fontId="36" fillId="0" borderId="0"/>
    <xf numFmtId="0" fontId="36" fillId="0" borderId="0"/>
    <xf numFmtId="9" fontId="37" fillId="0" borderId="0" applyFont="0" applyFill="0" applyBorder="0" applyAlignment="0" applyProtection="0"/>
    <xf numFmtId="43" fontId="32" fillId="0" borderId="0" applyFont="0" applyFill="0" applyBorder="0" applyAlignment="0" applyProtection="0"/>
    <xf numFmtId="0" fontId="32" fillId="0" borderId="0"/>
    <xf numFmtId="0" fontId="32" fillId="0" borderId="0"/>
    <xf numFmtId="41" fontId="36" fillId="0" borderId="0" applyFont="0" applyFill="0" applyBorder="0" applyAlignment="0" applyProtection="0"/>
    <xf numFmtId="0" fontId="36" fillId="0" borderId="0"/>
    <xf numFmtId="43" fontId="37" fillId="0" borderId="0" applyFont="0" applyFill="0" applyBorder="0" applyAlignment="0" applyProtection="0"/>
    <xf numFmtId="176" fontId="37" fillId="0" borderId="0" applyFont="0" applyFill="0" applyBorder="0" applyAlignment="0" applyProtection="0"/>
    <xf numFmtId="9" fontId="37" fillId="0" borderId="0" applyFont="0" applyFill="0" applyBorder="0" applyAlignment="0" applyProtection="0"/>
    <xf numFmtId="0" fontId="36" fillId="0" borderId="0"/>
    <xf numFmtId="43" fontId="37" fillId="0" borderId="0" applyFont="0" applyFill="0" applyBorder="0" applyAlignment="0" applyProtection="0"/>
    <xf numFmtId="176" fontId="37" fillId="0" borderId="0" applyFont="0" applyFill="0" applyBorder="0" applyAlignment="0" applyProtection="0"/>
    <xf numFmtId="0" fontId="53" fillId="0" borderId="0" applyNumberFormat="0" applyFill="0" applyBorder="0" applyAlignment="0" applyProtection="0">
      <alignment vertical="top"/>
      <protection locked="0"/>
    </xf>
    <xf numFmtId="9" fontId="37" fillId="0" borderId="0" applyFont="0" applyFill="0" applyBorder="0" applyAlignment="0" applyProtection="0"/>
    <xf numFmtId="43" fontId="32" fillId="0" borderId="0" applyFont="0" applyFill="0" applyBorder="0" applyAlignment="0" applyProtection="0"/>
    <xf numFmtId="0" fontId="32" fillId="0" borderId="0"/>
    <xf numFmtId="0" fontId="32" fillId="0" borderId="0"/>
    <xf numFmtId="0" fontId="32" fillId="0" borderId="0"/>
    <xf numFmtId="0" fontId="32" fillId="0" borderId="0"/>
    <xf numFmtId="43" fontId="32" fillId="0" borderId="0" applyFont="0" applyFill="0" applyBorder="0" applyAlignment="0" applyProtection="0"/>
    <xf numFmtId="0" fontId="32" fillId="0" borderId="0"/>
    <xf numFmtId="0" fontId="32" fillId="0" borderId="0"/>
    <xf numFmtId="0" fontId="37" fillId="0" borderId="0"/>
    <xf numFmtId="9" fontId="37" fillId="0" borderId="0" applyFont="0" applyFill="0" applyBorder="0" applyAlignment="0" applyProtection="0"/>
    <xf numFmtId="175" fontId="37" fillId="0" borderId="0" applyFont="0" applyFill="0" applyBorder="0" applyAlignment="0" applyProtection="0"/>
    <xf numFmtId="174"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54" fillId="0" borderId="0">
      <alignment vertical="center"/>
    </xf>
    <xf numFmtId="0" fontId="56" fillId="0" borderId="0"/>
    <xf numFmtId="0" fontId="57" fillId="12" borderId="0" applyNumberFormat="0" applyBorder="0" applyAlignment="0" applyProtection="0"/>
    <xf numFmtId="43" fontId="55" fillId="0" borderId="0" applyFont="0" applyFill="0" applyBorder="0" applyAlignment="0" applyProtection="0">
      <alignment vertical="center"/>
    </xf>
    <xf numFmtId="41" fontId="55" fillId="0" borderId="0" applyFont="0" applyFill="0" applyBorder="0" applyAlignment="0" applyProtection="0">
      <alignment vertical="center"/>
    </xf>
    <xf numFmtId="0" fontId="58" fillId="11" borderId="0" applyNumberFormat="0" applyBorder="0" applyAlignment="0" applyProtection="0"/>
    <xf numFmtId="0" fontId="59" fillId="0" borderId="0">
      <alignment vertical="center"/>
    </xf>
    <xf numFmtId="0" fontId="35" fillId="0" borderId="0"/>
    <xf numFmtId="0" fontId="31" fillId="0" borderId="0">
      <alignment vertical="center"/>
    </xf>
    <xf numFmtId="9" fontId="31" fillId="0" borderId="0" applyFont="0" applyFill="0" applyBorder="0" applyAlignment="0" applyProtection="0">
      <alignment vertical="center"/>
    </xf>
  </cellStyleXfs>
  <cellXfs count="306">
    <xf numFmtId="0" fontId="0" fillId="0" borderId="0" xfId="0"/>
    <xf numFmtId="0" fontId="0" fillId="0" borderId="0" xfId="0" applyAlignment="1">
      <alignment vertical="center"/>
    </xf>
    <xf numFmtId="0" fontId="2" fillId="0" borderId="0" xfId="0" applyFont="1" applyAlignment="1">
      <alignment vertical="center"/>
    </xf>
    <xf numFmtId="0" fontId="3" fillId="0" borderId="0" xfId="0" applyFont="1" applyAlignment="1">
      <alignment vertical="center"/>
    </xf>
    <xf numFmtId="41" fontId="0" fillId="0" borderId="0" xfId="1" applyFont="1" applyAlignment="1">
      <alignment vertical="center"/>
    </xf>
    <xf numFmtId="41" fontId="2" fillId="0" borderId="0" xfId="1" applyFont="1" applyAlignment="1">
      <alignment vertical="center"/>
    </xf>
    <xf numFmtId="0" fontId="2" fillId="0" borderId="1" xfId="0" applyFont="1" applyBorder="1" applyAlignment="1">
      <alignment vertical="center"/>
    </xf>
    <xf numFmtId="41" fontId="0" fillId="0" borderId="1" xfId="1" applyFont="1" applyBorder="1" applyAlignment="1">
      <alignment vertical="center"/>
    </xf>
    <xf numFmtId="0" fontId="0" fillId="0" borderId="1" xfId="0" applyBorder="1" applyAlignment="1">
      <alignment vertical="center"/>
    </xf>
    <xf numFmtId="41" fontId="2" fillId="0" borderId="1" xfId="1" applyFont="1" applyBorder="1" applyAlignment="1">
      <alignment vertical="center"/>
    </xf>
    <xf numFmtId="0" fontId="0" fillId="0" borderId="0" xfId="0" applyFont="1" applyAlignment="1">
      <alignment vertical="center"/>
    </xf>
    <xf numFmtId="41" fontId="0" fillId="0" borderId="1" xfId="1" applyFont="1" applyBorder="1" applyAlignment="1">
      <alignment vertical="center"/>
    </xf>
    <xf numFmtId="9" fontId="0" fillId="0" borderId="0" xfId="2" applyFont="1" applyAlignment="1">
      <alignment vertical="center"/>
    </xf>
    <xf numFmtId="9" fontId="0" fillId="0" borderId="1" xfId="2" applyFont="1" applyBorder="1" applyAlignment="1">
      <alignment vertical="center"/>
    </xf>
    <xf numFmtId="0" fontId="2" fillId="3" borderId="1" xfId="0" applyFont="1" applyFill="1" applyBorder="1" applyAlignment="1">
      <alignment vertical="center"/>
    </xf>
    <xf numFmtId="41" fontId="2" fillId="3" borderId="1" xfId="1" applyFont="1" applyFill="1" applyBorder="1" applyAlignment="1">
      <alignment vertical="center"/>
    </xf>
    <xf numFmtId="0" fontId="2" fillId="3" borderId="1" xfId="0" applyFont="1" applyFill="1" applyBorder="1" applyAlignment="1">
      <alignment horizontal="center" vertical="center"/>
    </xf>
    <xf numFmtId="0" fontId="0" fillId="3" borderId="1" xfId="0" applyFill="1" applyBorder="1" applyAlignment="1">
      <alignment vertical="center"/>
    </xf>
    <xf numFmtId="41" fontId="0" fillId="0" borderId="1" xfId="1" applyFont="1" applyBorder="1" applyAlignment="1">
      <alignment horizontal="right" vertical="center"/>
    </xf>
    <xf numFmtId="164" fontId="0" fillId="0" borderId="1" xfId="2" applyNumberFormat="1" applyFont="1" applyBorder="1" applyAlignment="1">
      <alignment vertical="center"/>
    </xf>
    <xf numFmtId="41" fontId="0" fillId="0" borderId="2" xfId="1" applyFont="1" applyBorder="1" applyAlignment="1">
      <alignment vertical="center"/>
    </xf>
    <xf numFmtId="0" fontId="2" fillId="5" borderId="1" xfId="0" applyFont="1" applyFill="1" applyBorder="1" applyAlignment="1">
      <alignment vertical="center"/>
    </xf>
    <xf numFmtId="0" fontId="2" fillId="5" borderId="1" xfId="0" quotePrefix="1" applyFont="1" applyFill="1" applyBorder="1" applyAlignment="1">
      <alignment vertical="center"/>
    </xf>
    <xf numFmtId="165" fontId="2" fillId="0" borderId="1" xfId="1" applyNumberFormat="1" applyFont="1" applyBorder="1" applyAlignment="1">
      <alignment vertical="center"/>
    </xf>
    <xf numFmtId="166" fontId="2" fillId="0" borderId="2" xfId="1" applyNumberFormat="1" applyFont="1" applyBorder="1" applyAlignment="1">
      <alignment vertical="center"/>
    </xf>
    <xf numFmtId="0" fontId="4" fillId="0" borderId="0" xfId="0" applyFont="1" applyAlignment="1">
      <alignment vertical="center"/>
    </xf>
    <xf numFmtId="41" fontId="2" fillId="4" borderId="1" xfId="1" applyFont="1" applyFill="1" applyBorder="1" applyAlignment="1" applyProtection="1">
      <alignment vertical="center"/>
      <protection locked="0"/>
    </xf>
    <xf numFmtId="164" fontId="0" fillId="4" borderId="1" xfId="2" applyNumberFormat="1" applyFont="1" applyFill="1" applyBorder="1" applyAlignment="1" applyProtection="1">
      <alignment vertical="center"/>
      <protection locked="0"/>
    </xf>
    <xf numFmtId="41" fontId="0" fillId="4" borderId="1" xfId="1" applyFont="1" applyFill="1" applyBorder="1" applyAlignment="1" applyProtection="1">
      <alignment vertical="center"/>
      <protection locked="0"/>
    </xf>
    <xf numFmtId="0" fontId="0" fillId="2" borderId="1" xfId="0" applyFill="1" applyBorder="1" applyAlignment="1" applyProtection="1">
      <alignment vertical="center"/>
      <protection locked="0"/>
    </xf>
    <xf numFmtId="0" fontId="0" fillId="4" borderId="1" xfId="0" applyFill="1" applyBorder="1" applyAlignment="1" applyProtection="1">
      <alignment vertical="center"/>
      <protection locked="0"/>
    </xf>
    <xf numFmtId="9" fontId="0" fillId="4" borderId="1" xfId="2" applyFont="1" applyFill="1" applyBorder="1" applyAlignment="1" applyProtection="1">
      <alignment vertical="center"/>
      <protection locked="0"/>
    </xf>
    <xf numFmtId="0" fontId="2" fillId="2" borderId="1" xfId="0" applyFont="1" applyFill="1" applyBorder="1" applyAlignment="1" applyProtection="1">
      <alignment vertical="center"/>
      <protection locked="0"/>
    </xf>
    <xf numFmtId="0" fontId="0" fillId="0" borderId="0" xfId="0" applyAlignment="1" applyProtection="1">
      <alignment vertical="center"/>
      <protection locked="0"/>
    </xf>
    <xf numFmtId="41" fontId="0" fillId="0" borderId="0" xfId="1" applyFont="1" applyAlignment="1" applyProtection="1">
      <alignment vertical="center"/>
      <protection locked="0"/>
    </xf>
    <xf numFmtId="0" fontId="0" fillId="0" borderId="0" xfId="0" applyBorder="1" applyAlignment="1" applyProtection="1">
      <alignment vertical="center"/>
      <protection locked="0"/>
    </xf>
    <xf numFmtId="0" fontId="2" fillId="0" borderId="0" xfId="0" applyFont="1" applyAlignment="1" applyProtection="1">
      <alignment vertical="center"/>
      <protection locked="0"/>
    </xf>
    <xf numFmtId="0" fontId="2" fillId="3" borderId="1" xfId="0" applyFont="1" applyFill="1" applyBorder="1" applyAlignment="1">
      <alignment vertical="center"/>
    </xf>
    <xf numFmtId="41" fontId="0" fillId="0" borderId="1" xfId="0" applyNumberFormat="1" applyBorder="1" applyAlignment="1" applyProtection="1">
      <alignment vertical="center"/>
      <protection locked="0"/>
    </xf>
    <xf numFmtId="0" fontId="0" fillId="0" borderId="1" xfId="0" applyFont="1" applyBorder="1" applyAlignment="1">
      <alignment vertical="center"/>
    </xf>
    <xf numFmtId="0" fontId="0" fillId="0" borderId="1" xfId="0" quotePrefix="1" applyFont="1" applyBorder="1" applyAlignment="1">
      <alignment vertical="center"/>
    </xf>
    <xf numFmtId="0" fontId="0" fillId="2" borderId="1" xfId="0" applyFill="1" applyBorder="1" applyAlignment="1">
      <alignment vertical="center"/>
    </xf>
    <xf numFmtId="0" fontId="0" fillId="4" borderId="1" xfId="0" applyFill="1" applyBorder="1" applyAlignment="1">
      <alignment vertical="center"/>
    </xf>
    <xf numFmtId="165" fontId="0" fillId="0" borderId="1" xfId="1" applyNumberFormat="1" applyFont="1" applyBorder="1" applyAlignment="1">
      <alignment vertical="center"/>
    </xf>
    <xf numFmtId="0" fontId="2" fillId="3" borderId="1" xfId="0" applyFont="1" applyFill="1" applyBorder="1" applyAlignment="1" applyProtection="1">
      <alignment vertical="center"/>
      <protection locked="0"/>
    </xf>
    <xf numFmtId="164" fontId="0" fillId="0" borderId="1" xfId="2" applyNumberFormat="1" applyFont="1" applyBorder="1" applyAlignment="1" applyProtection="1">
      <alignment vertical="center"/>
      <protection locked="0"/>
    </xf>
    <xf numFmtId="0" fontId="2" fillId="7" borderId="1" xfId="0" applyFont="1" applyFill="1" applyBorder="1" applyAlignment="1">
      <alignment vertical="center"/>
    </xf>
    <xf numFmtId="0" fontId="7" fillId="7" borderId="1" xfId="0" applyFont="1" applyFill="1" applyBorder="1" applyAlignment="1">
      <alignment vertical="center"/>
    </xf>
    <xf numFmtId="0" fontId="2" fillId="3" borderId="1" xfId="0" applyFont="1" applyFill="1" applyBorder="1" applyAlignment="1" applyProtection="1">
      <alignment horizontal="center" vertical="center"/>
      <protection locked="0"/>
    </xf>
    <xf numFmtId="41" fontId="0" fillId="0" borderId="1" xfId="1" applyFont="1" applyBorder="1" applyAlignment="1" applyProtection="1">
      <alignment vertical="center"/>
      <protection locked="0"/>
    </xf>
    <xf numFmtId="0" fontId="2" fillId="3" borderId="1" xfId="0" applyFont="1" applyFill="1" applyBorder="1" applyAlignment="1">
      <alignment vertical="center"/>
    </xf>
    <xf numFmtId="0" fontId="7" fillId="0" borderId="0" xfId="0" applyFont="1" applyAlignment="1">
      <alignment vertical="center"/>
    </xf>
    <xf numFmtId="164" fontId="7" fillId="4" borderId="1" xfId="2" applyNumberFormat="1" applyFont="1" applyFill="1" applyBorder="1" applyAlignment="1">
      <alignment vertical="center"/>
    </xf>
    <xf numFmtId="169" fontId="7" fillId="4" borderId="1" xfId="0" applyNumberFormat="1" applyFont="1" applyFill="1" applyBorder="1" applyAlignment="1">
      <alignment vertical="center"/>
    </xf>
    <xf numFmtId="167" fontId="7" fillId="4" borderId="1" xfId="0" applyNumberFormat="1" applyFont="1" applyFill="1" applyBorder="1" applyAlignment="1">
      <alignment vertical="center"/>
    </xf>
    <xf numFmtId="168" fontId="7" fillId="4" borderId="1" xfId="1" applyNumberFormat="1" applyFont="1" applyFill="1" applyBorder="1" applyAlignment="1">
      <alignment vertical="center"/>
    </xf>
    <xf numFmtId="0" fontId="0" fillId="4" borderId="1" xfId="0" applyFill="1" applyBorder="1" applyAlignment="1">
      <alignment vertical="center"/>
    </xf>
    <xf numFmtId="41" fontId="0" fillId="0" borderId="0" xfId="0" applyNumberFormat="1" applyAlignment="1" applyProtection="1">
      <alignment vertical="center"/>
      <protection locked="0"/>
    </xf>
    <xf numFmtId="41" fontId="9" fillId="0" borderId="0" xfId="1" applyFont="1" applyAlignment="1" applyProtection="1">
      <alignment vertical="center"/>
      <protection locked="0"/>
    </xf>
    <xf numFmtId="170" fontId="0" fillId="0" borderId="0" xfId="0" applyNumberFormat="1" applyAlignment="1">
      <alignment vertical="center"/>
    </xf>
    <xf numFmtId="41" fontId="0" fillId="0" borderId="0" xfId="0" applyNumberFormat="1" applyAlignment="1">
      <alignment vertical="center"/>
    </xf>
    <xf numFmtId="171" fontId="0" fillId="0" borderId="0" xfId="0" applyNumberFormat="1" applyAlignment="1" applyProtection="1">
      <alignment vertical="center"/>
      <protection locked="0"/>
    </xf>
    <xf numFmtId="43" fontId="0" fillId="0" borderId="0" xfId="0" applyNumberFormat="1" applyAlignment="1" applyProtection="1">
      <alignment vertical="center"/>
      <protection locked="0"/>
    </xf>
    <xf numFmtId="41" fontId="10" fillId="4" borderId="1" xfId="1" applyFont="1" applyFill="1" applyBorder="1" applyAlignment="1">
      <alignment vertical="center"/>
    </xf>
    <xf numFmtId="172" fontId="0" fillId="0" borderId="0" xfId="0" applyNumberFormat="1" applyAlignment="1">
      <alignment vertical="center"/>
    </xf>
    <xf numFmtId="41" fontId="0" fillId="4" borderId="1" xfId="0" applyNumberFormat="1" applyFill="1" applyBorder="1" applyAlignment="1" applyProtection="1">
      <alignment vertical="center"/>
      <protection locked="0"/>
    </xf>
    <xf numFmtId="164" fontId="9" fillId="0" borderId="1" xfId="2" applyNumberFormat="1" applyFont="1" applyBorder="1" applyAlignment="1">
      <alignment vertical="center"/>
    </xf>
    <xf numFmtId="0" fontId="12" fillId="0" borderId="0" xfId="0" applyFont="1" applyAlignment="1">
      <alignment vertical="center"/>
    </xf>
    <xf numFmtId="0" fontId="0" fillId="0" borderId="0" xfId="0" applyAlignment="1">
      <alignment horizontal="center" vertical="center"/>
    </xf>
    <xf numFmtId="0" fontId="13" fillId="3" borderId="11" xfId="0" applyFont="1" applyFill="1" applyBorder="1" applyAlignment="1">
      <alignment horizontal="center" vertical="center"/>
    </xf>
    <xf numFmtId="0" fontId="14" fillId="0" borderId="18" xfId="0" applyFont="1" applyBorder="1" applyAlignment="1">
      <alignment horizontal="center" vertical="center"/>
    </xf>
    <xf numFmtId="0" fontId="12" fillId="3" borderId="30" xfId="0" applyFont="1" applyFill="1" applyBorder="1" applyAlignment="1">
      <alignment horizontal="center" vertical="center"/>
    </xf>
    <xf numFmtId="0" fontId="13" fillId="3" borderId="31" xfId="0" applyFont="1" applyFill="1" applyBorder="1" applyAlignment="1">
      <alignment horizontal="center" vertical="center"/>
    </xf>
    <xf numFmtId="0" fontId="13" fillId="3" borderId="8" xfId="0" applyFont="1" applyFill="1" applyBorder="1" applyAlignment="1">
      <alignment horizontal="center" vertical="center"/>
    </xf>
    <xf numFmtId="0" fontId="13" fillId="3" borderId="32" xfId="0" applyFont="1" applyFill="1" applyBorder="1" applyAlignment="1">
      <alignment horizontal="center" vertical="center"/>
    </xf>
    <xf numFmtId="0" fontId="13" fillId="3" borderId="33" xfId="0" applyFont="1" applyFill="1" applyBorder="1" applyAlignment="1">
      <alignment horizontal="center" vertical="center"/>
    </xf>
    <xf numFmtId="0" fontId="13" fillId="3" borderId="34" xfId="0" applyFont="1" applyFill="1" applyBorder="1" applyAlignment="1">
      <alignment horizontal="center" vertical="center"/>
    </xf>
    <xf numFmtId="0" fontId="13" fillId="3" borderId="35" xfId="0" applyFont="1" applyFill="1" applyBorder="1" applyAlignment="1">
      <alignment horizontal="center" vertical="center"/>
    </xf>
    <xf numFmtId="0" fontId="13" fillId="3" borderId="36" xfId="0" applyFont="1" applyFill="1" applyBorder="1" applyAlignment="1">
      <alignment horizontal="center" vertical="center"/>
    </xf>
    <xf numFmtId="0" fontId="13" fillId="3" borderId="37" xfId="0" applyFont="1" applyFill="1" applyBorder="1" applyAlignment="1">
      <alignment horizontal="center" vertical="center"/>
    </xf>
    <xf numFmtId="0" fontId="12" fillId="0" borderId="40" xfId="0" applyFont="1" applyBorder="1" applyAlignment="1">
      <alignment horizontal="center" vertical="center"/>
    </xf>
    <xf numFmtId="0" fontId="12" fillId="0" borderId="41" xfId="0" applyFont="1" applyBorder="1" applyAlignment="1">
      <alignment horizontal="center" vertical="center"/>
    </xf>
    <xf numFmtId="0" fontId="12" fillId="0" borderId="42" xfId="0" applyFont="1" applyBorder="1" applyAlignment="1">
      <alignment horizontal="center" vertical="center"/>
    </xf>
    <xf numFmtId="0" fontId="13" fillId="0" borderId="43" xfId="0" applyFont="1" applyBorder="1" applyAlignment="1">
      <alignment horizontal="center" vertical="center"/>
    </xf>
    <xf numFmtId="0" fontId="12" fillId="3" borderId="45" xfId="0" applyFont="1" applyFill="1" applyBorder="1" applyAlignment="1">
      <alignment horizontal="center" vertical="center"/>
    </xf>
    <xf numFmtId="0" fontId="12" fillId="3" borderId="33" xfId="0" applyFont="1" applyFill="1" applyBorder="1" applyAlignment="1">
      <alignment horizontal="center" vertical="center"/>
    </xf>
    <xf numFmtId="0" fontId="13" fillId="3" borderId="34" xfId="0" applyFont="1" applyFill="1" applyBorder="1" applyAlignment="1">
      <alignment horizontal="center" vertical="center" wrapText="1"/>
    </xf>
    <xf numFmtId="0" fontId="13" fillId="3" borderId="44" xfId="0" applyFont="1" applyFill="1" applyBorder="1" applyAlignment="1">
      <alignment horizontal="center" vertical="center" wrapText="1"/>
    </xf>
    <xf numFmtId="0" fontId="13" fillId="3" borderId="35" xfId="0" applyFont="1" applyFill="1" applyBorder="1" applyAlignment="1">
      <alignment horizontal="center" vertical="center" wrapText="1"/>
    </xf>
    <xf numFmtId="0" fontId="12" fillId="3" borderId="46" xfId="0" applyFont="1" applyFill="1" applyBorder="1" applyAlignment="1">
      <alignment horizontal="center" vertical="center"/>
    </xf>
    <xf numFmtId="0" fontId="15" fillId="3" borderId="34" xfId="0" applyFont="1" applyFill="1" applyBorder="1" applyAlignment="1">
      <alignment horizontal="center" vertical="center" wrapText="1"/>
    </xf>
    <xf numFmtId="0" fontId="12" fillId="3" borderId="18" xfId="0" applyFont="1" applyFill="1" applyBorder="1" applyAlignment="1">
      <alignment horizontal="center" vertical="center" wrapText="1"/>
    </xf>
    <xf numFmtId="0" fontId="12" fillId="3" borderId="31" xfId="0" applyFont="1" applyFill="1" applyBorder="1" applyAlignment="1">
      <alignment vertical="center"/>
    </xf>
    <xf numFmtId="0" fontId="12" fillId="3" borderId="32" xfId="0" applyFont="1" applyFill="1" applyBorder="1" applyAlignment="1">
      <alignment vertical="center"/>
    </xf>
    <xf numFmtId="0" fontId="0" fillId="0" borderId="30" xfId="0" quotePrefix="1" applyBorder="1" applyAlignment="1">
      <alignment horizontal="center" vertical="center"/>
    </xf>
    <xf numFmtId="0" fontId="0" fillId="0" borderId="31" xfId="0" applyBorder="1" applyAlignment="1">
      <alignment horizontal="center" vertical="center"/>
    </xf>
    <xf numFmtId="0" fontId="0" fillId="0" borderId="8" xfId="0" applyBorder="1" applyAlignment="1">
      <alignment horizontal="center" vertical="center"/>
    </xf>
    <xf numFmtId="0" fontId="0" fillId="0" borderId="32" xfId="0" applyBorder="1" applyAlignment="1">
      <alignment horizontal="center" vertical="center"/>
    </xf>
    <xf numFmtId="0" fontId="0" fillId="0" borderId="37" xfId="0" applyBorder="1" applyAlignment="1">
      <alignment horizontal="center" vertical="center"/>
    </xf>
    <xf numFmtId="0" fontId="0" fillId="0" borderId="36" xfId="0" quotePrefix="1" applyBorder="1" applyAlignment="1">
      <alignment horizontal="center" vertical="center"/>
    </xf>
    <xf numFmtId="0" fontId="0" fillId="0" borderId="8" xfId="0" quotePrefix="1" applyBorder="1" applyAlignment="1">
      <alignment horizontal="center" vertical="center"/>
    </xf>
    <xf numFmtId="0" fontId="0" fillId="0" borderId="37" xfId="0" quotePrefix="1" applyBorder="1" applyAlignment="1">
      <alignment horizontal="center" vertical="center"/>
    </xf>
    <xf numFmtId="0" fontId="12" fillId="3" borderId="50" xfId="0" applyFont="1" applyFill="1" applyBorder="1" applyAlignment="1">
      <alignment vertical="center"/>
    </xf>
    <xf numFmtId="0" fontId="13" fillId="3" borderId="2" xfId="0" applyFont="1" applyFill="1" applyBorder="1" applyAlignment="1">
      <alignment vertical="center"/>
    </xf>
    <xf numFmtId="0" fontId="12" fillId="0" borderId="51" xfId="0" quotePrefix="1" applyFont="1" applyBorder="1" applyAlignment="1">
      <alignment horizontal="center" vertical="center"/>
    </xf>
    <xf numFmtId="0" fontId="12" fillId="3" borderId="2" xfId="0" applyFont="1" applyFill="1" applyBorder="1" applyAlignment="1">
      <alignment vertical="center"/>
    </xf>
    <xf numFmtId="0" fontId="0" fillId="0" borderId="51" xfId="0" applyBorder="1" applyAlignment="1">
      <alignment horizontal="center" vertical="center"/>
    </xf>
    <xf numFmtId="0" fontId="0" fillId="0" borderId="50"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53" xfId="0" applyBorder="1" applyAlignment="1">
      <alignment horizontal="center" vertical="center"/>
    </xf>
    <xf numFmtId="0" fontId="0" fillId="0" borderId="3" xfId="0" applyBorder="1" applyAlignment="1">
      <alignment horizontal="center" vertical="center"/>
    </xf>
    <xf numFmtId="0" fontId="0" fillId="0" borderId="51" xfId="0" quotePrefix="1" applyBorder="1" applyAlignment="1">
      <alignment horizontal="center" vertical="center"/>
    </xf>
    <xf numFmtId="0" fontId="0" fillId="0" borderId="50" xfId="0" quotePrefix="1" applyBorder="1" applyAlignment="1">
      <alignment horizontal="center" vertical="center"/>
    </xf>
    <xf numFmtId="0" fontId="0" fillId="0" borderId="1" xfId="0" quotePrefix="1" applyBorder="1" applyAlignment="1">
      <alignment horizontal="center" vertical="center"/>
    </xf>
    <xf numFmtId="0" fontId="0" fillId="0" borderId="2" xfId="0" quotePrefix="1" applyBorder="1" applyAlignment="1">
      <alignment horizontal="center" vertical="center"/>
    </xf>
    <xf numFmtId="0" fontId="12" fillId="3" borderId="54" xfId="0" applyFont="1" applyFill="1" applyBorder="1" applyAlignment="1">
      <alignment vertical="center"/>
    </xf>
    <xf numFmtId="0" fontId="12" fillId="3" borderId="55" xfId="0" applyFont="1" applyFill="1" applyBorder="1" applyAlignment="1">
      <alignment vertical="center"/>
    </xf>
    <xf numFmtId="0" fontId="0" fillId="0" borderId="56" xfId="0" quotePrefix="1" applyBorder="1" applyAlignment="1">
      <alignment horizontal="center" vertical="center"/>
    </xf>
    <xf numFmtId="0" fontId="0" fillId="0" borderId="54" xfId="0" quotePrefix="1" applyBorder="1" applyAlignment="1">
      <alignment horizontal="center" vertical="center"/>
    </xf>
    <xf numFmtId="0" fontId="0" fillId="0" borderId="7" xfId="0" quotePrefix="1" applyBorder="1" applyAlignment="1">
      <alignment horizontal="center" vertical="center"/>
    </xf>
    <xf numFmtId="0" fontId="0" fillId="0" borderId="55" xfId="0" quotePrefix="1" applyBorder="1" applyAlignment="1">
      <alignment horizontal="center" vertical="center"/>
    </xf>
    <xf numFmtId="0" fontId="0" fillId="0" borderId="54" xfId="0" applyBorder="1" applyAlignment="1">
      <alignment horizontal="center" vertical="center"/>
    </xf>
    <xf numFmtId="0" fontId="0" fillId="0" borderId="7" xfId="0" applyBorder="1" applyAlignment="1">
      <alignment horizontal="center" vertical="center"/>
    </xf>
    <xf numFmtId="0" fontId="0" fillId="0" borderId="57" xfId="0" applyBorder="1" applyAlignment="1">
      <alignment horizontal="center" vertical="center"/>
    </xf>
    <xf numFmtId="0" fontId="0" fillId="0" borderId="58" xfId="0" applyBorder="1" applyAlignment="1">
      <alignment horizontal="center" vertical="center"/>
    </xf>
    <xf numFmtId="0" fontId="0" fillId="0" borderId="59" xfId="0" quotePrefix="1" applyBorder="1" applyAlignment="1">
      <alignment horizontal="center" vertical="center"/>
    </xf>
    <xf numFmtId="0" fontId="0" fillId="0" borderId="60" xfId="0" quotePrefix="1" applyBorder="1" applyAlignment="1">
      <alignment horizontal="center" vertical="center"/>
    </xf>
    <xf numFmtId="0" fontId="0" fillId="0" borderId="61" xfId="0" quotePrefix="1" applyBorder="1" applyAlignment="1">
      <alignment horizontal="center" vertical="center"/>
    </xf>
    <xf numFmtId="0" fontId="0" fillId="0" borderId="62" xfId="0" quotePrefix="1" applyBorder="1" applyAlignment="1">
      <alignment horizontal="center" vertical="center"/>
    </xf>
    <xf numFmtId="0" fontId="12" fillId="3" borderId="9" xfId="0" applyFont="1" applyFill="1" applyBorder="1" applyAlignment="1">
      <alignment vertical="center"/>
    </xf>
    <xf numFmtId="0" fontId="12" fillId="3" borderId="10" xfId="0" applyFont="1" applyFill="1" applyBorder="1" applyAlignment="1">
      <alignment vertical="center"/>
    </xf>
    <xf numFmtId="0" fontId="0" fillId="0" borderId="11" xfId="0" quotePrefix="1" applyBorder="1" applyAlignment="1">
      <alignment horizontal="center" vertical="center"/>
    </xf>
    <xf numFmtId="0" fontId="0" fillId="0" borderId="9" xfId="0" quotePrefix="1" applyBorder="1" applyAlignment="1">
      <alignment horizontal="center" vertical="center"/>
    </xf>
    <xf numFmtId="0" fontId="0" fillId="0" borderId="63" xfId="0" quotePrefix="1" applyBorder="1" applyAlignment="1">
      <alignment horizontal="center" vertical="center"/>
    </xf>
    <xf numFmtId="0" fontId="0" fillId="0" borderId="10" xfId="0" quotePrefix="1" applyBorder="1" applyAlignment="1">
      <alignment horizontal="center" vertical="center"/>
    </xf>
    <xf numFmtId="0" fontId="0" fillId="0" borderId="9" xfId="0" applyBorder="1" applyAlignment="1">
      <alignment horizontal="center" vertical="center"/>
    </xf>
    <xf numFmtId="0" fontId="0" fillId="0" borderId="63" xfId="0" applyBorder="1" applyAlignment="1">
      <alignment horizontal="center" vertical="center"/>
    </xf>
    <xf numFmtId="0" fontId="0" fillId="0" borderId="17" xfId="0" applyBorder="1" applyAlignment="1">
      <alignment horizontal="center" vertical="center"/>
    </xf>
    <xf numFmtId="0" fontId="0" fillId="0" borderId="15" xfId="0" applyBorder="1" applyAlignment="1">
      <alignment horizontal="center" vertical="center"/>
    </xf>
    <xf numFmtId="0" fontId="17" fillId="0" borderId="50" xfId="0" quotePrefix="1" applyFont="1" applyBorder="1" applyAlignment="1">
      <alignment horizontal="center" vertical="center"/>
    </xf>
    <xf numFmtId="0" fontId="17" fillId="0" borderId="1" xfId="0" quotePrefix="1" applyFont="1" applyBorder="1" applyAlignment="1">
      <alignment horizontal="center" vertical="center"/>
    </xf>
    <xf numFmtId="0" fontId="17" fillId="0" borderId="2" xfId="0" quotePrefix="1" applyFont="1" applyBorder="1" applyAlignment="1">
      <alignment horizontal="center" vertical="center"/>
    </xf>
    <xf numFmtId="0" fontId="12" fillId="3" borderId="59" xfId="0" applyFont="1" applyFill="1" applyBorder="1" applyAlignment="1">
      <alignment vertical="center"/>
    </xf>
    <xf numFmtId="0" fontId="12" fillId="3" borderId="61" xfId="0" applyFont="1" applyFill="1" applyBorder="1" applyAlignment="1">
      <alignment vertical="center"/>
    </xf>
    <xf numFmtId="0" fontId="0" fillId="0" borderId="64" xfId="0" quotePrefix="1"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0" fontId="0" fillId="0" borderId="62" xfId="0" applyBorder="1" applyAlignment="1">
      <alignment horizontal="center" vertical="center"/>
    </xf>
    <xf numFmtId="0" fontId="0" fillId="0" borderId="65" xfId="0" applyBorder="1" applyAlignment="1">
      <alignment horizontal="center" vertical="center"/>
    </xf>
    <xf numFmtId="0" fontId="0" fillId="0" borderId="17" xfId="0" quotePrefix="1" applyBorder="1" applyAlignment="1">
      <alignment horizontal="center" vertical="center"/>
    </xf>
    <xf numFmtId="0" fontId="0" fillId="0" borderId="53" xfId="0" quotePrefix="1" applyBorder="1" applyAlignment="1">
      <alignment horizontal="center" vertical="center"/>
    </xf>
    <xf numFmtId="0" fontId="18" fillId="0" borderId="59" xfId="0" quotePrefix="1" applyFont="1" applyBorder="1" applyAlignment="1">
      <alignment horizontal="center" vertical="center"/>
    </xf>
    <xf numFmtId="0" fontId="19" fillId="0" borderId="60" xfId="0" quotePrefix="1" applyFont="1" applyBorder="1" applyAlignment="1">
      <alignment horizontal="center" vertical="center"/>
    </xf>
    <xf numFmtId="0" fontId="19" fillId="0" borderId="61" xfId="0" quotePrefix="1" applyFont="1" applyBorder="1" applyAlignment="1">
      <alignment horizontal="center" vertical="center"/>
    </xf>
    <xf numFmtId="0" fontId="0" fillId="0" borderId="30" xfId="0" applyBorder="1" applyAlignment="1">
      <alignment horizontal="center" vertical="center"/>
    </xf>
    <xf numFmtId="0" fontId="0" fillId="0" borderId="36" xfId="0" applyBorder="1" applyAlignment="1">
      <alignment horizontal="center" vertical="center"/>
    </xf>
    <xf numFmtId="0" fontId="0" fillId="0" borderId="61" xfId="0" applyBorder="1" applyAlignment="1">
      <alignment horizontal="center" vertical="center"/>
    </xf>
    <xf numFmtId="0" fontId="22" fillId="0" borderId="0" xfId="0" applyFont="1" applyAlignment="1">
      <alignment vertical="center"/>
    </xf>
    <xf numFmtId="0" fontId="2" fillId="3" borderId="2" xfId="0" applyFont="1" applyFill="1" applyBorder="1" applyAlignment="1">
      <alignment vertical="center"/>
    </xf>
    <xf numFmtId="0" fontId="2" fillId="3" borderId="2" xfId="0" applyFont="1" applyFill="1" applyBorder="1" applyAlignment="1">
      <alignment vertical="center"/>
    </xf>
    <xf numFmtId="0" fontId="2" fillId="3" borderId="1" xfId="0" applyFont="1" applyFill="1" applyBorder="1" applyAlignment="1">
      <alignment vertical="center"/>
    </xf>
    <xf numFmtId="0" fontId="0" fillId="4" borderId="1" xfId="0" applyFill="1" applyBorder="1" applyAlignment="1">
      <alignment vertical="center"/>
    </xf>
    <xf numFmtId="0" fontId="2" fillId="3" borderId="1" xfId="0" applyFont="1" applyFill="1" applyBorder="1" applyAlignment="1">
      <alignment vertical="center"/>
    </xf>
    <xf numFmtId="0" fontId="7" fillId="7" borderId="1" xfId="0" applyFont="1" applyFill="1" applyBorder="1" applyAlignment="1">
      <alignment vertical="center"/>
    </xf>
    <xf numFmtId="164" fontId="7" fillId="7" borderId="1" xfId="2" applyNumberFormat="1" applyFont="1" applyFill="1" applyBorder="1" applyAlignment="1">
      <alignment horizontal="left" vertical="center"/>
    </xf>
    <xf numFmtId="14" fontId="30" fillId="4" borderId="1" xfId="0" applyNumberFormat="1" applyFont="1" applyFill="1" applyBorder="1" applyAlignment="1">
      <alignment horizontal="left" vertical="center"/>
    </xf>
    <xf numFmtId="41" fontId="0" fillId="0" borderId="1" xfId="1" applyFont="1" applyBorder="1" applyAlignment="1">
      <alignment vertical="center"/>
    </xf>
    <xf numFmtId="0" fontId="2" fillId="5" borderId="1" xfId="0" applyFont="1" applyFill="1" applyBorder="1" applyAlignment="1">
      <alignment horizontal="center" vertical="center"/>
    </xf>
    <xf numFmtId="41" fontId="2" fillId="5" borderId="1" xfId="1" applyFont="1" applyFill="1" applyBorder="1" applyAlignment="1">
      <alignment vertical="center"/>
    </xf>
    <xf numFmtId="41" fontId="0" fillId="3" borderId="1" xfId="0" applyNumberFormat="1" applyFill="1" applyBorder="1" applyAlignment="1">
      <alignment vertical="center"/>
    </xf>
    <xf numFmtId="41" fontId="0" fillId="3" borderId="1" xfId="0" applyNumberFormat="1" applyFill="1" applyBorder="1" applyAlignment="1">
      <alignment horizontal="right" vertical="center"/>
    </xf>
    <xf numFmtId="173" fontId="2" fillId="5" borderId="1" xfId="1" applyNumberFormat="1" applyFont="1" applyFill="1" applyBorder="1" applyAlignment="1">
      <alignment vertical="center"/>
    </xf>
    <xf numFmtId="41" fontId="0" fillId="3" borderId="7" xfId="0" applyNumberFormat="1" applyFill="1" applyBorder="1" applyAlignment="1">
      <alignment vertical="center"/>
    </xf>
    <xf numFmtId="41" fontId="0" fillId="3" borderId="7" xfId="0" applyNumberFormat="1" applyFill="1" applyBorder="1" applyAlignment="1">
      <alignment horizontal="right" vertical="center"/>
    </xf>
    <xf numFmtId="41" fontId="2" fillId="2" borderId="1" xfId="0" applyNumberFormat="1" applyFont="1" applyFill="1" applyBorder="1" applyAlignment="1">
      <alignment vertical="center"/>
    </xf>
    <xf numFmtId="41" fontId="0" fillId="0" borderId="1" xfId="1" applyFont="1" applyBorder="1" applyAlignment="1">
      <alignment vertical="center"/>
    </xf>
    <xf numFmtId="0" fontId="2" fillId="3" borderId="1" xfId="0" applyFont="1" applyFill="1" applyBorder="1" applyAlignment="1">
      <alignment vertical="center"/>
    </xf>
    <xf numFmtId="14" fontId="0" fillId="0" borderId="1" xfId="0" applyNumberFormat="1" applyBorder="1" applyAlignment="1">
      <alignment vertical="center"/>
    </xf>
    <xf numFmtId="41" fontId="9" fillId="7" borderId="1" xfId="1" applyFont="1" applyFill="1" applyBorder="1" applyAlignment="1">
      <alignment vertical="center"/>
    </xf>
    <xf numFmtId="0" fontId="0" fillId="4" borderId="1" xfId="0" applyFill="1" applyBorder="1" applyAlignment="1">
      <alignment vertical="center"/>
    </xf>
    <xf numFmtId="41" fontId="5" fillId="4" borderId="1" xfId="1" applyFont="1" applyFill="1" applyBorder="1" applyAlignment="1" applyProtection="1">
      <alignment vertical="center"/>
      <protection locked="0"/>
    </xf>
    <xf numFmtId="0" fontId="2" fillId="3" borderId="1" xfId="0" applyFont="1" applyFill="1" applyBorder="1" applyAlignment="1">
      <alignment vertical="center"/>
    </xf>
    <xf numFmtId="41" fontId="0" fillId="0" borderId="1" xfId="1" applyFont="1" applyBorder="1" applyAlignment="1">
      <alignment vertical="center"/>
    </xf>
    <xf numFmtId="41" fontId="2" fillId="0" borderId="0" xfId="1" applyFont="1" applyAlignment="1" applyProtection="1">
      <alignment vertical="center"/>
      <protection locked="0"/>
    </xf>
    <xf numFmtId="164" fontId="2" fillId="4" borderId="1" xfId="2" applyNumberFormat="1" applyFont="1" applyFill="1" applyBorder="1" applyAlignment="1" applyProtection="1">
      <alignment vertical="center"/>
      <protection locked="0"/>
    </xf>
    <xf numFmtId="0" fontId="60" fillId="15" borderId="1" xfId="0" applyFont="1" applyFill="1" applyBorder="1" applyAlignment="1">
      <alignment vertical="center"/>
    </xf>
    <xf numFmtId="0" fontId="61" fillId="0" borderId="0" xfId="0" applyFont="1" applyAlignment="1">
      <alignment vertical="center"/>
    </xf>
    <xf numFmtId="0" fontId="2" fillId="3" borderId="1" xfId="0" applyFont="1" applyFill="1" applyBorder="1" applyAlignment="1">
      <alignment vertical="center"/>
    </xf>
    <xf numFmtId="0" fontId="25" fillId="10" borderId="12" xfId="0" applyFont="1" applyFill="1" applyBorder="1" applyAlignment="1">
      <alignment horizontal="left" vertical="top" wrapText="1"/>
    </xf>
    <xf numFmtId="0" fontId="25" fillId="10" borderId="13" xfId="0" applyFont="1" applyFill="1" applyBorder="1" applyAlignment="1">
      <alignment horizontal="left" vertical="top" wrapText="1"/>
    </xf>
    <xf numFmtId="0" fontId="25" fillId="10" borderId="14" xfId="0" applyFont="1" applyFill="1" applyBorder="1" applyAlignment="1">
      <alignment horizontal="left" vertical="top" wrapText="1"/>
    </xf>
    <xf numFmtId="0" fontId="25" fillId="10" borderId="40" xfId="0" applyFont="1" applyFill="1" applyBorder="1" applyAlignment="1">
      <alignment horizontal="left" vertical="top" wrapText="1"/>
    </xf>
    <xf numFmtId="0" fontId="25" fillId="10" borderId="0" xfId="0" applyFont="1" applyFill="1" applyAlignment="1">
      <alignment horizontal="left" vertical="top" wrapText="1"/>
    </xf>
    <xf numFmtId="0" fontId="25" fillId="10" borderId="87" xfId="0" applyFont="1" applyFill="1" applyBorder="1" applyAlignment="1">
      <alignment horizontal="left" vertical="top" wrapText="1"/>
    </xf>
    <xf numFmtId="0" fontId="25" fillId="10" borderId="75" xfId="0" applyFont="1" applyFill="1" applyBorder="1" applyAlignment="1">
      <alignment horizontal="left" vertical="top" wrapText="1"/>
    </xf>
    <xf numFmtId="0" fontId="25" fillId="10" borderId="76" xfId="0" applyFont="1" applyFill="1" applyBorder="1" applyAlignment="1">
      <alignment horizontal="left" vertical="top" wrapText="1"/>
    </xf>
    <xf numFmtId="0" fontId="25" fillId="10" borderId="6" xfId="0" applyFont="1" applyFill="1" applyBorder="1" applyAlignment="1">
      <alignment horizontal="left" vertical="top" wrapText="1"/>
    </xf>
    <xf numFmtId="0" fontId="24" fillId="10" borderId="81" xfId="0" applyFont="1" applyFill="1" applyBorder="1" applyAlignment="1">
      <alignment horizontal="left" vertical="center" wrapText="1"/>
    </xf>
    <xf numFmtId="0" fontId="24" fillId="10" borderId="82" xfId="0" applyFont="1" applyFill="1" applyBorder="1" applyAlignment="1">
      <alignment horizontal="left" vertical="center" wrapText="1"/>
    </xf>
    <xf numFmtId="0" fontId="25" fillId="0" borderId="81" xfId="0" applyFont="1" applyBorder="1" applyAlignment="1">
      <alignment horizontal="center" vertical="center" wrapText="1"/>
    </xf>
    <xf numFmtId="0" fontId="25" fillId="0" borderId="83" xfId="0" applyFont="1" applyBorder="1" applyAlignment="1">
      <alignment horizontal="center" vertical="center" wrapText="1"/>
    </xf>
    <xf numFmtId="0" fontId="27" fillId="0" borderId="82" xfId="0" applyFont="1" applyBorder="1" applyAlignment="1">
      <alignment horizontal="center" vertical="center" wrapText="1"/>
    </xf>
    <xf numFmtId="0" fontId="27" fillId="0" borderId="85" xfId="0" applyFont="1" applyBorder="1" applyAlignment="1">
      <alignment horizontal="center" vertical="center" wrapText="1"/>
    </xf>
    <xf numFmtId="0" fontId="27" fillId="0" borderId="83" xfId="0" applyFont="1" applyBorder="1" applyAlignment="1">
      <alignment horizontal="center" vertical="center" wrapText="1"/>
    </xf>
    <xf numFmtId="0" fontId="27" fillId="0" borderId="84" xfId="0" applyFont="1" applyBorder="1" applyAlignment="1">
      <alignment horizontal="center" vertical="center" wrapText="1"/>
    </xf>
    <xf numFmtId="0" fontId="24" fillId="6" borderId="77" xfId="0" applyFont="1" applyFill="1" applyBorder="1" applyAlignment="1">
      <alignment horizontal="left" vertical="center" wrapText="1"/>
    </xf>
    <xf numFmtId="0" fontId="24" fillId="6" borderId="78" xfId="0" applyFont="1" applyFill="1" applyBorder="1" applyAlignment="1">
      <alignment horizontal="left" vertical="center" wrapText="1"/>
    </xf>
    <xf numFmtId="0" fontId="25" fillId="6" borderId="77" xfId="0" applyFont="1" applyFill="1" applyBorder="1" applyAlignment="1">
      <alignment horizontal="center" vertical="center" wrapText="1"/>
    </xf>
    <xf numFmtId="0" fontId="25" fillId="6" borderId="79" xfId="0" applyFont="1" applyFill="1" applyBorder="1" applyAlignment="1">
      <alignment horizontal="center" vertical="center" wrapText="1"/>
    </xf>
    <xf numFmtId="0" fontId="27" fillId="6" borderId="78" xfId="0" applyFont="1" applyFill="1" applyBorder="1" applyAlignment="1">
      <alignment horizontal="center" vertical="center" wrapText="1"/>
    </xf>
    <xf numFmtId="0" fontId="27" fillId="6" borderId="86" xfId="0" applyFont="1" applyFill="1" applyBorder="1" applyAlignment="1">
      <alignment horizontal="center" vertical="center" wrapText="1"/>
    </xf>
    <xf numFmtId="0" fontId="26" fillId="6" borderId="79" xfId="0" applyFont="1" applyFill="1" applyBorder="1" applyAlignment="1">
      <alignment horizontal="center" vertical="center" wrapText="1"/>
    </xf>
    <xf numFmtId="0" fontId="26" fillId="6" borderId="80" xfId="0" applyFont="1" applyFill="1" applyBorder="1" applyAlignment="1">
      <alignment horizontal="center" vertical="center" wrapText="1"/>
    </xf>
    <xf numFmtId="0" fontId="23" fillId="9" borderId="12" xfId="0" applyFont="1" applyFill="1" applyBorder="1" applyAlignment="1">
      <alignment horizontal="center" vertical="center" wrapText="1"/>
    </xf>
    <xf numFmtId="0" fontId="23" fillId="9" borderId="13" xfId="0" applyFont="1" applyFill="1" applyBorder="1" applyAlignment="1">
      <alignment horizontal="center" vertical="center" wrapText="1"/>
    </xf>
    <xf numFmtId="0" fontId="23" fillId="9" borderId="75" xfId="0" applyFont="1" applyFill="1" applyBorder="1" applyAlignment="1">
      <alignment horizontal="center" vertical="center" wrapText="1"/>
    </xf>
    <xf numFmtId="0" fontId="23" fillId="9" borderId="76" xfId="0" applyFont="1" applyFill="1" applyBorder="1" applyAlignment="1">
      <alignment horizontal="center" vertical="center" wrapText="1"/>
    </xf>
    <xf numFmtId="0" fontId="24" fillId="6" borderId="71" xfId="0" applyFont="1" applyFill="1" applyBorder="1" applyAlignment="1">
      <alignment horizontal="left" vertical="center" wrapText="1"/>
    </xf>
    <xf numFmtId="0" fontId="24" fillId="6" borderId="72" xfId="0" applyFont="1" applyFill="1" applyBorder="1" applyAlignment="1">
      <alignment horizontal="left" vertical="center" wrapText="1"/>
    </xf>
    <xf numFmtId="0" fontId="25" fillId="6" borderId="71" xfId="0" applyFont="1" applyFill="1" applyBorder="1" applyAlignment="1">
      <alignment horizontal="center" vertical="center" wrapText="1"/>
    </xf>
    <xf numFmtId="0" fontId="25" fillId="6" borderId="73" xfId="0" applyFont="1" applyFill="1" applyBorder="1" applyAlignment="1">
      <alignment horizontal="center" vertical="center" wrapText="1"/>
    </xf>
    <xf numFmtId="0" fontId="25" fillId="6" borderId="74" xfId="0" applyFont="1" applyFill="1" applyBorder="1" applyAlignment="1">
      <alignment horizontal="center" vertical="center" wrapText="1"/>
    </xf>
    <xf numFmtId="0" fontId="25" fillId="6" borderId="80" xfId="0" applyFont="1" applyFill="1" applyBorder="1" applyAlignment="1">
      <alignment horizontal="center" vertical="center" wrapText="1"/>
    </xf>
    <xf numFmtId="0" fontId="23" fillId="9" borderId="40" xfId="0" applyFont="1" applyFill="1" applyBorder="1" applyAlignment="1">
      <alignment horizontal="center" vertical="center" wrapText="1"/>
    </xf>
    <xf numFmtId="0" fontId="23" fillId="9" borderId="0" xfId="0" applyFont="1" applyFill="1" applyAlignment="1">
      <alignment horizontal="center" vertical="center" wrapText="1"/>
    </xf>
    <xf numFmtId="0" fontId="26" fillId="6" borderId="73" xfId="0" applyFont="1" applyFill="1" applyBorder="1" applyAlignment="1">
      <alignment horizontal="center" vertical="center" wrapText="1"/>
    </xf>
    <xf numFmtId="0" fontId="27" fillId="6" borderId="73" xfId="0" applyFont="1" applyFill="1" applyBorder="1" applyAlignment="1">
      <alignment horizontal="center" vertical="center" wrapText="1"/>
    </xf>
    <xf numFmtId="0" fontId="27" fillId="6" borderId="74" xfId="0" applyFont="1" applyFill="1" applyBorder="1" applyAlignment="1">
      <alignment horizontal="center" vertical="center" wrapText="1"/>
    </xf>
    <xf numFmtId="0" fontId="24" fillId="6" borderId="81" xfId="0" applyFont="1" applyFill="1" applyBorder="1" applyAlignment="1">
      <alignment horizontal="left" vertical="center" wrapText="1"/>
    </xf>
    <xf numFmtId="0" fontId="24" fillId="6" borderId="82" xfId="0" applyFont="1" applyFill="1" applyBorder="1" applyAlignment="1">
      <alignment horizontal="left" vertical="center" wrapText="1"/>
    </xf>
    <xf numFmtId="0" fontId="25" fillId="6" borderId="81" xfId="0" applyFont="1" applyFill="1" applyBorder="1" applyAlignment="1">
      <alignment horizontal="center" vertical="center" wrapText="1"/>
    </xf>
    <xf numFmtId="0" fontId="25" fillId="6" borderId="83" xfId="0" applyFont="1" applyFill="1" applyBorder="1" applyAlignment="1">
      <alignment horizontal="center" vertical="center" wrapText="1"/>
    </xf>
    <xf numFmtId="0" fontId="26" fillId="6" borderId="83" xfId="0" applyFont="1" applyFill="1" applyBorder="1" applyAlignment="1">
      <alignment horizontal="center" vertical="center" wrapText="1"/>
    </xf>
    <xf numFmtId="0" fontId="27" fillId="6" borderId="83" xfId="0" applyFont="1" applyFill="1" applyBorder="1" applyAlignment="1">
      <alignment horizontal="center" vertical="center" wrapText="1"/>
    </xf>
    <xf numFmtId="0" fontId="27" fillId="6" borderId="84" xfId="0" applyFont="1" applyFill="1" applyBorder="1" applyAlignment="1">
      <alignment horizontal="center" vertical="center" wrapText="1"/>
    </xf>
    <xf numFmtId="43" fontId="27" fillId="0" borderId="82" xfId="3" applyFont="1" applyFill="1" applyBorder="1" applyAlignment="1">
      <alignment horizontal="center" vertical="center" wrapText="1"/>
    </xf>
    <xf numFmtId="43" fontId="27" fillId="0" borderId="85" xfId="3" applyFont="1" applyFill="1" applyBorder="1" applyAlignment="1">
      <alignment horizontal="center" vertical="center" wrapText="1"/>
    </xf>
    <xf numFmtId="0" fontId="13" fillId="0" borderId="51" xfId="0" applyFont="1" applyBorder="1" applyAlignment="1">
      <alignment horizontal="center" vertical="center"/>
    </xf>
    <xf numFmtId="0" fontId="13" fillId="0" borderId="4" xfId="0" applyFont="1" applyBorder="1" applyAlignment="1">
      <alignment horizontal="center" vertical="center"/>
    </xf>
    <xf numFmtId="0" fontId="13" fillId="0" borderId="52" xfId="0" applyFont="1" applyBorder="1" applyAlignment="1">
      <alignment horizontal="center" vertical="center"/>
    </xf>
    <xf numFmtId="0" fontId="12" fillId="3" borderId="30" xfId="0" applyFont="1" applyFill="1" applyBorder="1" applyAlignment="1">
      <alignment horizontal="left" vertical="center"/>
    </xf>
    <xf numFmtId="0" fontId="12" fillId="3" borderId="66" xfId="0" applyFont="1" applyFill="1" applyBorder="1" applyAlignment="1">
      <alignment horizontal="left" vertical="center"/>
    </xf>
    <xf numFmtId="0" fontId="13" fillId="3" borderId="51" xfId="0" applyFont="1" applyFill="1" applyBorder="1" applyAlignment="1">
      <alignment horizontal="left" vertical="center"/>
    </xf>
    <xf numFmtId="0" fontId="13" fillId="3" borderId="4" xfId="0" applyFont="1" applyFill="1" applyBorder="1" applyAlignment="1">
      <alignment horizontal="left" vertical="center"/>
    </xf>
    <xf numFmtId="0" fontId="20" fillId="0" borderId="0" xfId="0" applyFont="1" applyAlignment="1">
      <alignment horizontal="center" vertical="center"/>
    </xf>
    <xf numFmtId="0" fontId="21" fillId="8" borderId="67" xfId="0" applyFont="1" applyFill="1" applyBorder="1" applyAlignment="1">
      <alignment horizontal="center" vertical="center" wrapText="1"/>
    </xf>
    <xf numFmtId="0" fontId="21" fillId="8" borderId="68" xfId="0" applyFont="1" applyFill="1" applyBorder="1" applyAlignment="1">
      <alignment horizontal="center" vertical="center" wrapText="1"/>
    </xf>
    <xf numFmtId="0" fontId="21" fillId="8" borderId="69" xfId="0" applyFont="1" applyFill="1" applyBorder="1" applyAlignment="1">
      <alignment horizontal="center" vertical="center" wrapText="1"/>
    </xf>
    <xf numFmtId="0" fontId="21" fillId="8" borderId="70" xfId="0" applyFont="1" applyFill="1" applyBorder="1" applyAlignment="1">
      <alignment horizontal="center" vertical="center" wrapText="1"/>
    </xf>
    <xf numFmtId="0" fontId="21" fillId="8" borderId="5" xfId="0" applyFont="1" applyFill="1" applyBorder="1" applyAlignment="1">
      <alignment horizontal="center" vertical="center" wrapText="1"/>
    </xf>
    <xf numFmtId="0" fontId="12" fillId="3" borderId="49" xfId="0" applyFont="1" applyFill="1" applyBorder="1" applyAlignment="1">
      <alignment horizontal="center" vertical="center" wrapText="1"/>
    </xf>
    <xf numFmtId="0" fontId="12" fillId="3" borderId="19" xfId="0" applyFont="1" applyFill="1" applyBorder="1" applyAlignment="1">
      <alignment horizontal="center" vertical="center" wrapText="1"/>
    </xf>
    <xf numFmtId="0" fontId="13" fillId="5" borderId="9" xfId="0" applyFont="1" applyFill="1" applyBorder="1" applyAlignment="1">
      <alignment horizontal="center" vertical="center"/>
    </xf>
    <xf numFmtId="0" fontId="13" fillId="5" borderId="10" xfId="0" applyFont="1" applyFill="1" applyBorder="1" applyAlignment="1">
      <alignment horizontal="center" vertical="center"/>
    </xf>
    <xf numFmtId="0" fontId="13" fillId="3" borderId="12" xfId="0" applyFont="1" applyFill="1" applyBorder="1" applyAlignment="1">
      <alignment horizontal="center" vertical="center"/>
    </xf>
    <xf numFmtId="0" fontId="13" fillId="3" borderId="13" xfId="0" applyFont="1" applyFill="1" applyBorder="1" applyAlignment="1">
      <alignment horizontal="center" vertical="center"/>
    </xf>
    <xf numFmtId="0" fontId="13" fillId="3" borderId="14" xfId="0" applyFont="1" applyFill="1" applyBorder="1" applyAlignment="1">
      <alignment horizontal="center" vertical="center"/>
    </xf>
    <xf numFmtId="0" fontId="13" fillId="3" borderId="15" xfId="0" applyFont="1" applyFill="1" applyBorder="1" applyAlignment="1">
      <alignment horizontal="center" vertical="center"/>
    </xf>
    <xf numFmtId="0" fontId="13" fillId="3" borderId="16" xfId="0" applyFont="1" applyFill="1" applyBorder="1" applyAlignment="1">
      <alignment horizontal="center" vertical="center"/>
    </xf>
    <xf numFmtId="0" fontId="13" fillId="3" borderId="17" xfId="0" applyFont="1" applyFill="1" applyBorder="1" applyAlignment="1">
      <alignment horizontal="center" vertical="center"/>
    </xf>
    <xf numFmtId="0" fontId="13" fillId="0" borderId="18" xfId="0" applyFont="1" applyBorder="1" applyAlignment="1">
      <alignment horizontal="center" vertical="center"/>
    </xf>
    <xf numFmtId="0" fontId="13" fillId="0" borderId="19" xfId="0" applyFont="1" applyBorder="1" applyAlignment="1">
      <alignment horizontal="center" vertical="center"/>
    </xf>
    <xf numFmtId="0" fontId="12" fillId="0" borderId="20" xfId="0" applyFont="1" applyBorder="1" applyAlignment="1">
      <alignment horizontal="center" vertical="center" wrapText="1"/>
    </xf>
    <xf numFmtId="0" fontId="12" fillId="0" borderId="21" xfId="0" applyFont="1" applyBorder="1" applyAlignment="1">
      <alignment horizontal="center" vertical="center"/>
    </xf>
    <xf numFmtId="0" fontId="12" fillId="0" borderId="22" xfId="0" applyFont="1" applyBorder="1" applyAlignment="1">
      <alignment horizontal="center" vertical="center"/>
    </xf>
    <xf numFmtId="0" fontId="15" fillId="0" borderId="23" xfId="0" applyFont="1" applyBorder="1" applyAlignment="1">
      <alignment horizontal="center" vertical="center" wrapText="1"/>
    </xf>
    <xf numFmtId="0" fontId="15" fillId="0" borderId="21" xfId="0" applyFont="1" applyBorder="1" applyAlignment="1">
      <alignment horizontal="center" vertical="center"/>
    </xf>
    <xf numFmtId="0" fontId="15" fillId="0" borderId="24" xfId="0" applyFont="1" applyBorder="1" applyAlignment="1">
      <alignment horizontal="center" vertical="center"/>
    </xf>
    <xf numFmtId="0" fontId="12" fillId="0" borderId="25" xfId="0" applyFont="1" applyBorder="1" applyAlignment="1">
      <alignment horizontal="center" vertical="center"/>
    </xf>
    <xf numFmtId="0" fontId="12" fillId="0" borderId="26" xfId="0" applyFont="1" applyBorder="1" applyAlignment="1">
      <alignment horizontal="center" vertical="center"/>
    </xf>
    <xf numFmtId="0" fontId="12" fillId="0" borderId="27" xfId="0" applyFont="1" applyBorder="1" applyAlignment="1">
      <alignment horizontal="center" vertical="center"/>
    </xf>
    <xf numFmtId="0" fontId="13" fillId="5" borderId="28" xfId="0" applyFont="1" applyFill="1" applyBorder="1" applyAlignment="1">
      <alignment horizontal="center" vertical="center"/>
    </xf>
    <xf numFmtId="0" fontId="13" fillId="5" borderId="29" xfId="0" applyFont="1" applyFill="1" applyBorder="1" applyAlignment="1">
      <alignment horizontal="center" vertical="center"/>
    </xf>
    <xf numFmtId="0" fontId="13" fillId="0" borderId="38" xfId="0" applyFont="1" applyBorder="1" applyAlignment="1">
      <alignment horizontal="center" vertical="center"/>
    </xf>
    <xf numFmtId="0" fontId="13" fillId="0" borderId="39" xfId="0" applyFont="1" applyBorder="1" applyAlignment="1">
      <alignment horizontal="center" vertical="center"/>
    </xf>
    <xf numFmtId="0" fontId="12" fillId="5" borderId="33" xfId="0" applyFont="1" applyFill="1" applyBorder="1" applyAlignment="1">
      <alignment horizontal="center" vertical="center"/>
    </xf>
    <xf numFmtId="0" fontId="12" fillId="5" borderId="44" xfId="0" applyFont="1" applyFill="1" applyBorder="1" applyAlignment="1">
      <alignment horizontal="center" vertical="center"/>
    </xf>
    <xf numFmtId="0" fontId="12" fillId="5" borderId="47" xfId="0" applyFont="1" applyFill="1" applyBorder="1" applyAlignment="1">
      <alignment horizontal="center" vertical="center"/>
    </xf>
    <xf numFmtId="0" fontId="12" fillId="5" borderId="48" xfId="0" applyFont="1" applyFill="1" applyBorder="1" applyAlignment="1">
      <alignment horizontal="center" vertical="center"/>
    </xf>
    <xf numFmtId="0" fontId="12" fillId="3" borderId="18" xfId="0" applyFont="1" applyFill="1" applyBorder="1" applyAlignment="1">
      <alignment horizontal="center" vertical="center" wrapText="1"/>
    </xf>
    <xf numFmtId="0" fontId="2" fillId="3" borderId="92" xfId="0" applyFont="1" applyFill="1" applyBorder="1" applyAlignment="1">
      <alignment vertical="center" wrapText="1"/>
    </xf>
    <xf numFmtId="0" fontId="2" fillId="3" borderId="93" xfId="0" applyFont="1" applyFill="1" applyBorder="1" applyAlignment="1">
      <alignment vertical="center" wrapText="1"/>
    </xf>
    <xf numFmtId="0" fontId="2" fillId="3" borderId="94" xfId="0" applyFont="1" applyFill="1" applyBorder="1" applyAlignment="1">
      <alignment vertical="center" wrapText="1"/>
    </xf>
    <xf numFmtId="0" fontId="0" fillId="4" borderId="89" xfId="0" quotePrefix="1" applyFill="1" applyBorder="1" applyAlignment="1">
      <alignment vertical="center" wrapText="1"/>
    </xf>
    <xf numFmtId="0" fontId="0" fillId="4" borderId="91" xfId="0" quotePrefix="1" applyFill="1" applyBorder="1" applyAlignment="1">
      <alignment vertical="center" wrapText="1"/>
    </xf>
    <xf numFmtId="0" fontId="0" fillId="4" borderId="90" xfId="0" quotePrefix="1" applyFill="1" applyBorder="1" applyAlignment="1">
      <alignment vertical="center" wrapText="1"/>
    </xf>
    <xf numFmtId="0" fontId="0" fillId="4" borderId="88" xfId="0" quotePrefix="1" applyFill="1" applyBorder="1" applyAlignment="1">
      <alignment vertical="center" wrapText="1"/>
    </xf>
    <xf numFmtId="0" fontId="0" fillId="4" borderId="88" xfId="0" applyFill="1" applyBorder="1" applyAlignment="1">
      <alignment vertical="center" wrapText="1"/>
    </xf>
    <xf numFmtId="0" fontId="2" fillId="4" borderId="89" xfId="0" applyFont="1" applyFill="1" applyBorder="1" applyAlignment="1">
      <alignment horizontal="left" vertical="center" wrapText="1"/>
    </xf>
    <xf numFmtId="0" fontId="2" fillId="4" borderId="90" xfId="0" applyFont="1" applyFill="1" applyBorder="1" applyAlignment="1">
      <alignment horizontal="left" vertical="center" wrapText="1"/>
    </xf>
    <xf numFmtId="0" fontId="0" fillId="4" borderId="89" xfId="0" quotePrefix="1" applyFill="1" applyBorder="1" applyAlignment="1">
      <alignment horizontal="left" vertical="center" wrapText="1"/>
    </xf>
    <xf numFmtId="0" fontId="0" fillId="4" borderId="90" xfId="0" applyFill="1" applyBorder="1" applyAlignment="1">
      <alignment horizontal="left" vertical="center" wrapText="1"/>
    </xf>
    <xf numFmtId="0" fontId="0" fillId="4" borderId="90" xfId="0" quotePrefix="1" applyFill="1" applyBorder="1" applyAlignment="1">
      <alignment horizontal="left" vertical="center" wrapText="1"/>
    </xf>
    <xf numFmtId="0" fontId="2" fillId="3" borderId="2" xfId="0" applyFont="1" applyFill="1" applyBorder="1" applyAlignment="1">
      <alignment vertical="center"/>
    </xf>
    <xf numFmtId="0" fontId="2" fillId="3" borderId="3" xfId="0" applyFont="1" applyFill="1" applyBorder="1" applyAlignment="1">
      <alignment vertical="center"/>
    </xf>
    <xf numFmtId="0" fontId="2" fillId="3" borderId="1" xfId="0" applyFont="1" applyFill="1" applyBorder="1" applyAlignment="1">
      <alignment vertical="center"/>
    </xf>
    <xf numFmtId="41" fontId="0" fillId="0" borderId="1" xfId="1" applyFont="1" applyBorder="1" applyAlignment="1">
      <alignment vertical="center"/>
    </xf>
    <xf numFmtId="166" fontId="2" fillId="0" borderId="1" xfId="1" applyNumberFormat="1" applyFont="1" applyBorder="1" applyAlignment="1">
      <alignment vertical="center"/>
    </xf>
    <xf numFmtId="41" fontId="2" fillId="3" borderId="1" xfId="1" applyFont="1" applyFill="1" applyBorder="1" applyAlignment="1">
      <alignment horizontal="center" vertical="center" wrapText="1"/>
    </xf>
    <xf numFmtId="0" fontId="2" fillId="3" borderId="4" xfId="0" applyFont="1" applyFill="1" applyBorder="1" applyAlignment="1">
      <alignment vertic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0" borderId="2" xfId="0" applyFont="1" applyBorder="1" applyAlignment="1">
      <alignment horizontal="left" vertical="center"/>
    </xf>
    <xf numFmtId="0" fontId="2" fillId="0" borderId="3" xfId="0" applyFont="1" applyBorder="1" applyAlignment="1">
      <alignment horizontal="left" vertical="center"/>
    </xf>
    <xf numFmtId="164" fontId="30" fillId="0" borderId="1" xfId="2" applyNumberFormat="1" applyFont="1" applyBorder="1" applyAlignment="1">
      <alignment vertical="center"/>
    </xf>
  </cellXfs>
  <cellStyles count="166">
    <cellStyle name="_x000d__x000a_JournalTemplate=C:\COMFO\CTALK\JOURSTD.TPL_x000d__x000a_LbStateAddress=3 3 0 251 1 89 2 311_x000d__x000a_LbStateJou" xfId="10"/>
    <cellStyle name="Accent1 2" xfId="8"/>
    <cellStyle name="Bad 2" xfId="158"/>
    <cellStyle name="Calc Currency (0)" xfId="11"/>
    <cellStyle name="Calc Currency (2)" xfId="12"/>
    <cellStyle name="Calc Percent (0)" xfId="13"/>
    <cellStyle name="Calc Percent (1)" xfId="14"/>
    <cellStyle name="Calc Percent (2)" xfId="15"/>
    <cellStyle name="Calc Units (0)" xfId="16"/>
    <cellStyle name="Calc Units (1)" xfId="17"/>
    <cellStyle name="Calc Units (2)" xfId="18"/>
    <cellStyle name="Comma" xfId="3" builtinId="3"/>
    <cellStyle name="Comma [0]" xfId="1" builtinId="6"/>
    <cellStyle name="Comma [0] 2" xfId="132"/>
    <cellStyle name="Comma [0] 3" xfId="155"/>
    <cellStyle name="Comma [0] 4" xfId="160"/>
    <cellStyle name="Comma [0] 5" xfId="5"/>
    <cellStyle name="Comma [00]" xfId="20"/>
    <cellStyle name="Comma 10" xfId="95"/>
    <cellStyle name="Comma 11" xfId="122"/>
    <cellStyle name="Comma 12" xfId="19"/>
    <cellStyle name="Comma 13" xfId="134"/>
    <cellStyle name="Comma 14" xfId="138"/>
    <cellStyle name="Comma 15" xfId="154"/>
    <cellStyle name="Comma 16" xfId="159"/>
    <cellStyle name="Comma 2" xfId="21"/>
    <cellStyle name="Comma 3" xfId="22"/>
    <cellStyle name="Comma 4" xfId="23"/>
    <cellStyle name="Comma 5" xfId="24"/>
    <cellStyle name="Comma 6" xfId="25"/>
    <cellStyle name="Comma 7" xfId="96"/>
    <cellStyle name="Comma 7 2" xfId="129"/>
    <cellStyle name="Comma 7 2 2" xfId="147"/>
    <cellStyle name="Comma 7 3" xfId="142"/>
    <cellStyle name="Comma 8" xfId="97"/>
    <cellStyle name="Comma 9" xfId="98"/>
    <cellStyle name="Currency [0] 2" xfId="153"/>
    <cellStyle name="Currency [00]" xfId="27"/>
    <cellStyle name="Currency 10" xfId="99"/>
    <cellStyle name="Currency 11" xfId="123"/>
    <cellStyle name="Currency 12" xfId="26"/>
    <cellStyle name="Currency 13" xfId="135"/>
    <cellStyle name="Currency 14" xfId="139"/>
    <cellStyle name="Currency 15" xfId="152"/>
    <cellStyle name="Currency 2" xfId="28"/>
    <cellStyle name="Currency 3" xfId="29"/>
    <cellStyle name="Currency 4" xfId="30"/>
    <cellStyle name="Currency 5" xfId="31"/>
    <cellStyle name="Currency 6" xfId="32"/>
    <cellStyle name="Currency 7" xfId="100"/>
    <cellStyle name="Currency 8" xfId="101"/>
    <cellStyle name="Currency 9" xfId="102"/>
    <cellStyle name="Date Short" xfId="33"/>
    <cellStyle name="Enter Currency (0)" xfId="34"/>
    <cellStyle name="Enter Currency (2)" xfId="35"/>
    <cellStyle name="Enter Units (0)" xfId="36"/>
    <cellStyle name="Enter Units (1)" xfId="37"/>
    <cellStyle name="Enter Units (2)" xfId="38"/>
    <cellStyle name="Good 2" xfId="40"/>
    <cellStyle name="Good 3" xfId="103"/>
    <cellStyle name="Good 4" xfId="124"/>
    <cellStyle name="Good 5" xfId="39"/>
    <cellStyle name="Good 6" xfId="161"/>
    <cellStyle name="Good 7" xfId="7"/>
    <cellStyle name="Header 1" xfId="41"/>
    <cellStyle name="Header 2" xfId="42"/>
    <cellStyle name="Header Center" xfId="43"/>
    <cellStyle name="Header1" xfId="44"/>
    <cellStyle name="Header1 2" xfId="113"/>
    <cellStyle name="Header1 3" xfId="114"/>
    <cellStyle name="Header2" xfId="45"/>
    <cellStyle name="Heading 1 2" xfId="47"/>
    <cellStyle name="Heading 1 3" xfId="104"/>
    <cellStyle name="Heading 1 4" xfId="125"/>
    <cellStyle name="Heading 1 5" xfId="46"/>
    <cellStyle name="HP Logo" xfId="48"/>
    <cellStyle name="Hyperlink 2" xfId="140"/>
    <cellStyle name="Link Currency (0)" xfId="49"/>
    <cellStyle name="Link Currency (2)" xfId="50"/>
    <cellStyle name="Link Units (0)" xfId="51"/>
    <cellStyle name="Link Units (1)" xfId="52"/>
    <cellStyle name="Link Units (2)" xfId="53"/>
    <cellStyle name="Normal" xfId="0" builtinId="0"/>
    <cellStyle name="Normal - Style1" xfId="54"/>
    <cellStyle name="Normal 10" xfId="105"/>
    <cellStyle name="Normal 11" xfId="106"/>
    <cellStyle name="Normal 12" xfId="107"/>
    <cellStyle name="Normal 13" xfId="115"/>
    <cellStyle name="Normal 13 2" xfId="131"/>
    <cellStyle name="Normal 13 2 2" xfId="149"/>
    <cellStyle name="Normal 13 3" xfId="144"/>
    <cellStyle name="Normal 14" xfId="117"/>
    <cellStyle name="Normal 15" xfId="121"/>
    <cellStyle name="Normal 16" xfId="118"/>
    <cellStyle name="Normal 16 2" xfId="145"/>
    <cellStyle name="Normal 17" xfId="9"/>
    <cellStyle name="Normal 18" xfId="133"/>
    <cellStyle name="Normal 19" xfId="137"/>
    <cellStyle name="Normal 2" xfId="55"/>
    <cellStyle name="Normal 2 2" xfId="116"/>
    <cellStyle name="Normal 2 3" xfId="126"/>
    <cellStyle name="Normal 2 4" xfId="119"/>
    <cellStyle name="Normal 20" xfId="150"/>
    <cellStyle name="Normal 21" xfId="156"/>
    <cellStyle name="Normal 22" xfId="4"/>
    <cellStyle name="Normal 23" xfId="164"/>
    <cellStyle name="Normal 3" xfId="56"/>
    <cellStyle name="Normal 3 2" xfId="127"/>
    <cellStyle name="Normal 3 3" xfId="120"/>
    <cellStyle name="Normal 3 3 2" xfId="146"/>
    <cellStyle name="Normal 4" xfId="57"/>
    <cellStyle name="Normal 5" xfId="58"/>
    <cellStyle name="Normal 6" xfId="59"/>
    <cellStyle name="Normal 7" xfId="60"/>
    <cellStyle name="Normal 72" xfId="61"/>
    <cellStyle name="Normal 8" xfId="62"/>
    <cellStyle name="Normal 9" xfId="108"/>
    <cellStyle name="Normal 9 2" xfId="130"/>
    <cellStyle name="Normal 9 2 2" xfId="148"/>
    <cellStyle name="Normal 9 3" xfId="143"/>
    <cellStyle name="Percent" xfId="2" builtinId="5"/>
    <cellStyle name="Percent [0]" xfId="64"/>
    <cellStyle name="Percent [00]" xfId="65"/>
    <cellStyle name="Percent 10" xfId="109"/>
    <cellStyle name="Percent 11" xfId="110"/>
    <cellStyle name="Percent 12" xfId="128"/>
    <cellStyle name="Percent 13" xfId="63"/>
    <cellStyle name="Percent 14" xfId="136"/>
    <cellStyle name="Percent 15" xfId="141"/>
    <cellStyle name="Percent 16" xfId="151"/>
    <cellStyle name="Percent 17" xfId="6"/>
    <cellStyle name="Percent 18" xfId="165"/>
    <cellStyle name="Percent 2" xfId="66"/>
    <cellStyle name="Percent 2 2" xfId="67"/>
    <cellStyle name="Percent 3" xfId="68"/>
    <cellStyle name="Percent 4" xfId="69"/>
    <cellStyle name="Percent 5" xfId="70"/>
    <cellStyle name="Percent 6" xfId="71"/>
    <cellStyle name="Percent 7" xfId="72"/>
    <cellStyle name="Percent 8" xfId="111"/>
    <cellStyle name="Percent 9" xfId="112"/>
    <cellStyle name="PrePop Currency (0)" xfId="73"/>
    <cellStyle name="PrePop Currency (2)" xfId="74"/>
    <cellStyle name="PrePop Units (0)" xfId="75"/>
    <cellStyle name="PrePop Units (1)" xfId="76"/>
    <cellStyle name="PrePop Units (2)" xfId="77"/>
    <cellStyle name="Style 1" xfId="157"/>
    <cellStyle name="Table Entry" xfId="78"/>
    <cellStyle name="Table Heading" xfId="79"/>
    <cellStyle name="Table Heading Center" xfId="80"/>
    <cellStyle name="Table Medium" xfId="81"/>
    <cellStyle name="Table Normal" xfId="82"/>
    <cellStyle name="Table Small" xfId="83"/>
    <cellStyle name="Table Small Bold" xfId="84"/>
    <cellStyle name="Table Small Center" xfId="85"/>
    <cellStyle name="Table Title" xfId="86"/>
    <cellStyle name="Text Indent A" xfId="87"/>
    <cellStyle name="Text Indent B" xfId="88"/>
    <cellStyle name="Text Indent C" xfId="89"/>
    <cellStyle name="通貨 [0.00]_PERSONAL" xfId="93"/>
    <cellStyle name="通貨_PERSONAL" xfId="94"/>
    <cellStyle name="표준 3" xfId="162"/>
    <cellStyle name="표준 4" xfId="163"/>
    <cellStyle name="標準_PERSONAL" xfId="92"/>
    <cellStyle name="桁区切り [0.00]_PERSONAL" xfId="90"/>
    <cellStyle name="桁区切り_PERSONAL" xfId="91"/>
  </cellStyles>
  <dxfs count="0"/>
  <tableStyles count="0" defaultTableStyle="TableStyleMedium2" defaultPivotStyle="PivotStyleLight16"/>
  <colors>
    <mruColors>
      <color rgb="FFFFFFEB"/>
      <color rgb="FFEFF6FB"/>
      <color rgb="FFFFFFE1"/>
      <color rgb="FFFFFFD7"/>
      <color rgb="FFFFFFCC"/>
      <color rgb="FFFFFF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260744</xdr:colOff>
      <xdr:row>1</xdr:row>
      <xdr:rowOff>190081</xdr:rowOff>
    </xdr:from>
    <xdr:to>
      <xdr:col>19</xdr:col>
      <xdr:colOff>89691</xdr:colOff>
      <xdr:row>12</xdr:row>
      <xdr:rowOff>21378</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893694" y="336131"/>
          <a:ext cx="3583067" cy="26481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18</xdr:row>
          <xdr:rowOff>95250</xdr:rowOff>
        </xdr:from>
        <xdr:to>
          <xdr:col>0</xdr:col>
          <xdr:colOff>1365250</xdr:colOff>
          <xdr:row>19</xdr:row>
          <xdr:rowOff>146050</xdr:rowOff>
        </xdr:to>
        <xdr:sp macro="" textlink="">
          <xdr:nvSpPr>
            <xdr:cNvPr id="1027" name="Button 3" hidden="1">
              <a:extLst>
                <a:ext uri="{63B3BB69-23CF-44E3-9099-C40C66FF867C}">
                  <a14:compatExt spid="_x0000_s1027"/>
                </a:ext>
                <a:ext uri="{FF2B5EF4-FFF2-40B4-BE49-F238E27FC236}">
                  <a16:creationId xmlns=""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 E3T Details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xdr:colOff>
          <xdr:row>25</xdr:row>
          <xdr:rowOff>63500</xdr:rowOff>
        </xdr:from>
        <xdr:to>
          <xdr:col>1</xdr:col>
          <xdr:colOff>488950</xdr:colOff>
          <xdr:row>26</xdr:row>
          <xdr:rowOff>88900</xdr:rowOff>
        </xdr:to>
        <xdr:sp macro="" textlink="">
          <xdr:nvSpPr>
            <xdr:cNvPr id="2084" name="Button 36" hidden="1">
              <a:extLst>
                <a:ext uri="{63B3BB69-23CF-44E3-9099-C40C66FF867C}">
                  <a14:compatExt spid="_x0000_s2084"/>
                </a:ext>
                <a:ext uri="{FF2B5EF4-FFF2-40B4-BE49-F238E27FC236}">
                  <a16:creationId xmlns="" xmlns:a16="http://schemas.microsoft.com/office/drawing/2014/main" id="{00000000-0008-0000-0200-00002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 E3T DeliveryInput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57150</xdr:rowOff>
        </xdr:from>
        <xdr:to>
          <xdr:col>1</xdr:col>
          <xdr:colOff>1466850</xdr:colOff>
          <xdr:row>1</xdr:row>
          <xdr:rowOff>95250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check E3T Result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xdr:colOff>
          <xdr:row>1</xdr:row>
          <xdr:rowOff>196850</xdr:rowOff>
        </xdr:from>
        <xdr:to>
          <xdr:col>7</xdr:col>
          <xdr:colOff>12700</xdr:colOff>
          <xdr:row>3</xdr:row>
          <xdr:rowOff>25400</xdr:rowOff>
        </xdr:to>
        <xdr:sp macro="" textlink="">
          <xdr:nvSpPr>
            <xdr:cNvPr id="16388" name="Button 4" hidden="1">
              <a:extLst>
                <a:ext uri="{63B3BB69-23CF-44E3-9099-C40C66FF867C}">
                  <a14:compatExt spid="_x0000_s16388"/>
                </a:ext>
                <a:ext uri="{FF2B5EF4-FFF2-40B4-BE49-F238E27FC236}">
                  <a16:creationId xmlns="" xmlns:a16="http://schemas.microsoft.com/office/drawing/2014/main" id="{00000000-0008-0000-0400-000004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PM 승인 요청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xdr:colOff>
          <xdr:row>3</xdr:row>
          <xdr:rowOff>76200</xdr:rowOff>
        </xdr:from>
        <xdr:to>
          <xdr:col>7</xdr:col>
          <xdr:colOff>12700</xdr:colOff>
          <xdr:row>4</xdr:row>
          <xdr:rowOff>114300</xdr:rowOff>
        </xdr:to>
        <xdr:sp macro="" textlink="">
          <xdr:nvSpPr>
            <xdr:cNvPr id="16389" name="Button 5" hidden="1">
              <a:extLst>
                <a:ext uri="{63B3BB69-23CF-44E3-9099-C40C66FF867C}">
                  <a14:compatExt spid="_x0000_s16389"/>
                </a:ext>
                <a:ext uri="{FF2B5EF4-FFF2-40B4-BE49-F238E27FC236}">
                  <a16:creationId xmlns=""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매니저 승인 요청</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eril/OneDrive%20-%20Hewlett%20Packard%20Enterprise/Project/(04)%20(2021)%20KB&#52852;&#46300;%20ITSM%202&#52264;/SOAR/SOAR%20Info%20(KB&#52852;&#46300;%20&#51648;&#45733;&#54805;IT)_210602_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eril/Documents/Project/(07)(2022)%20&#49888;&#54620;&#52852;&#46300;%20&#53364;&#46972;&#50864;&#45936;&#46972;/SOAR/E3T%20(KR3-K0312)%20Shinhan%20Card%20cloudera%20upgrad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3T"/>
      <sheetName val="DO"/>
      <sheetName val="SA"/>
      <sheetName val="Risk Log"/>
      <sheetName val="3P Details"/>
      <sheetName val="DA briefing"/>
      <sheetName val="Deal Engagement"/>
      <sheetName val="Gross vs Net"/>
      <sheetName val="Summary"/>
      <sheetName val="||"/>
      <sheetName val="Mail"/>
      <sheetName val="Lists"/>
      <sheetName val="comments"/>
      <sheetName val="Sheet1"/>
    </sheetNames>
    <sheetDataSet>
      <sheetData sheetId="0">
        <row r="4">
          <cell r="B4" t="str">
            <v>KB Card</v>
          </cell>
        </row>
        <row r="5">
          <cell r="B5" t="str">
            <v>ITSM 2nd Phase</v>
          </cell>
        </row>
        <row r="6">
          <cell r="B6" t="str">
            <v>KR3-K0273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ecurity"/>
      <sheetName val="Project Details"/>
      <sheetName val="COMPASS"/>
      <sheetName val="Rates"/>
      <sheetName val="Customize"/>
      <sheetName val="Presales Input"/>
      <sheetName val="Deliverables"/>
      <sheetName val="Delivery Input"/>
      <sheetName val="SKU_Ref"/>
      <sheetName val="CMT_Template"/>
      <sheetName val="Log"/>
      <sheetName val="P&amp;L"/>
      <sheetName val="CMS P&amp;L"/>
      <sheetName val="CMS P&amp;L FY"/>
      <sheetName val="HPV_LOB_FY"/>
      <sheetName val="HPV_GBU_FY"/>
      <sheetName val="MV_PnL_GBU"/>
      <sheetName val="Summary"/>
      <sheetName val="Month End Trending"/>
      <sheetName val="Deal Chart P&amp;L"/>
      <sheetName val="Deal Summary"/>
      <sheetName val="ICOEM Dilution"/>
      <sheetName val="Detailed Cashflow_FY"/>
      <sheetName val="Cashflow Input"/>
      <sheetName val="Cashflow Output"/>
      <sheetName val="Cashflow Output MV"/>
      <sheetName val="ACS_Template"/>
      <sheetName val="Mkt Offerings"/>
      <sheetName val="Checklist"/>
      <sheetName val="Assumptions"/>
      <sheetName val="Notes1"/>
      <sheetName val="Notes2"/>
      <sheetName val="Notes3"/>
      <sheetName val="Notes4"/>
      <sheetName val="SIT Details"/>
      <sheetName val="Staffing Detail"/>
      <sheetName val="MSP Import"/>
      <sheetName val="Custom Fields Table"/>
      <sheetName val="DCPI"/>
      <sheetName val="CMTRefData"/>
      <sheetName val="Ref Data"/>
      <sheetName val="Biz Org"/>
      <sheetName val="PV302"/>
      <sheetName val="CPMPOR"/>
      <sheetName val="CPMCO"/>
      <sheetName val="Labor_Bookings"/>
      <sheetName val="PL_Txn"/>
      <sheetName val="Reforecasting View"/>
      <sheetName val="Pricing Report"/>
      <sheetName val="TS_ES_Mgt_MV"/>
      <sheetName val="Export Config"/>
      <sheetName val="ES_Rates"/>
      <sheetName val="ES_JobCodeMast"/>
      <sheetName val="TS_Rates"/>
      <sheetName val="Labor"/>
      <sheetName val="MO_Lookup"/>
      <sheetName val="ESS_Rates"/>
      <sheetName val="ESS_JobCodeMast"/>
      <sheetName val="Rate_Cards"/>
      <sheetName val="LOB_RateCard"/>
      <sheetName val="MSR"/>
      <sheetName val="FX_Rates"/>
      <sheetName val="WBS_Def"/>
      <sheetName val="GL_Account_Def"/>
      <sheetName val="Prod_Line_Def"/>
      <sheetName val="E3T Version Info"/>
      <sheetName val="COS_Rates"/>
      <sheetName val="Country_Def"/>
      <sheetName val="CPM Mapping"/>
      <sheetName val="MO_Def"/>
      <sheetName val="SAP_Lookup"/>
      <sheetName val="OPTIMUM_GBU_LOB"/>
      <sheetName val="TS_JobCodeMast"/>
      <sheetName val="Sales_Org_Def"/>
    </sheetNames>
    <sheetDataSet>
      <sheetData sheetId="0" refreshError="1"/>
      <sheetData sheetId="1" refreshError="1"/>
      <sheetData sheetId="2" refreshError="1"/>
      <sheetData sheetId="3" refreshError="1"/>
      <sheetData sheetId="4" refreshError="1"/>
      <sheetData sheetId="5" refreshError="1"/>
      <sheetData sheetId="6">
        <row r="15">
          <cell r="AG15">
            <v>44923</v>
          </cell>
          <cell r="AH15">
            <v>45044</v>
          </cell>
        </row>
        <row r="16">
          <cell r="AG16">
            <v>44923</v>
          </cell>
          <cell r="AH16">
            <v>45044</v>
          </cell>
        </row>
        <row r="17">
          <cell r="AG17" t="str">
            <v/>
          </cell>
          <cell r="AH17" t="str">
            <v/>
          </cell>
        </row>
        <row r="18">
          <cell r="AG18" t="str">
            <v/>
          </cell>
          <cell r="AH18" t="str">
            <v/>
          </cell>
        </row>
        <row r="19">
          <cell r="AG19" t="str">
            <v/>
          </cell>
          <cell r="AH19" t="str">
            <v/>
          </cell>
        </row>
        <row r="20">
          <cell r="AG20">
            <v>44923</v>
          </cell>
          <cell r="AH20">
            <v>45044</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2:P46"/>
  <sheetViews>
    <sheetView zoomScale="85" zoomScaleNormal="85" workbookViewId="0">
      <selection activeCell="K4" sqref="K4:M4"/>
    </sheetView>
  </sheetViews>
  <sheetFormatPr defaultColWidth="7.90625" defaultRowHeight="11.5"/>
  <cols>
    <col min="1" max="1" width="4.08984375" style="1" customWidth="1"/>
    <col min="2" max="2" width="2.81640625" style="1" customWidth="1"/>
    <col min="3" max="3" width="30.54296875" style="1" customWidth="1"/>
    <col min="4" max="4" width="12.90625" style="1" customWidth="1"/>
    <col min="5" max="9" width="9.7265625" style="1" customWidth="1"/>
    <col min="10" max="10" width="11" style="1" customWidth="1"/>
    <col min="11" max="13" width="9.7265625" style="1" customWidth="1"/>
    <col min="14" max="15" width="7.90625" style="1"/>
    <col min="16" max="16" width="9.26953125" style="1" bestFit="1" customWidth="1"/>
    <col min="17" max="19" width="7.90625" style="1"/>
    <col min="20" max="20" width="10.1796875" style="1" bestFit="1" customWidth="1"/>
    <col min="21" max="16384" width="7.90625" style="1"/>
  </cols>
  <sheetData>
    <row r="2" spans="2:13" ht="15" thickBot="1">
      <c r="D2" s="67" t="s">
        <v>323</v>
      </c>
    </row>
    <row r="3" spans="2:13" s="68" customFormat="1" ht="14.5">
      <c r="B3" s="253" t="s">
        <v>254</v>
      </c>
      <c r="C3" s="254"/>
      <c r="D3" s="69" t="s">
        <v>46</v>
      </c>
      <c r="E3" s="255" t="s">
        <v>47</v>
      </c>
      <c r="F3" s="256"/>
      <c r="G3" s="256"/>
      <c r="H3" s="256"/>
      <c r="I3" s="256"/>
      <c r="J3" s="257"/>
      <c r="K3" s="258" t="s">
        <v>48</v>
      </c>
      <c r="L3" s="259"/>
      <c r="M3" s="260"/>
    </row>
    <row r="4" spans="2:13" s="68" customFormat="1" ht="34.5" customHeight="1">
      <c r="B4" s="261" t="s">
        <v>255</v>
      </c>
      <c r="C4" s="262"/>
      <c r="D4" s="70" t="s">
        <v>256</v>
      </c>
      <c r="E4" s="263" t="s">
        <v>257</v>
      </c>
      <c r="F4" s="264"/>
      <c r="G4" s="265"/>
      <c r="H4" s="266" t="s">
        <v>258</v>
      </c>
      <c r="I4" s="267"/>
      <c r="J4" s="268"/>
      <c r="K4" s="269" t="s">
        <v>259</v>
      </c>
      <c r="L4" s="270"/>
      <c r="M4" s="271"/>
    </row>
    <row r="5" spans="2:13" s="68" customFormat="1" ht="14.5">
      <c r="B5" s="272" t="s">
        <v>1</v>
      </c>
      <c r="C5" s="273"/>
      <c r="D5" s="71"/>
      <c r="E5" s="72" t="s">
        <v>50</v>
      </c>
      <c r="F5" s="73" t="s">
        <v>260</v>
      </c>
      <c r="G5" s="74" t="s">
        <v>51</v>
      </c>
      <c r="H5" s="75" t="s">
        <v>50</v>
      </c>
      <c r="I5" s="76" t="s">
        <v>260</v>
      </c>
      <c r="J5" s="77" t="s">
        <v>51</v>
      </c>
      <c r="K5" s="78" t="s">
        <v>50</v>
      </c>
      <c r="L5" s="73" t="s">
        <v>260</v>
      </c>
      <c r="M5" s="79" t="s">
        <v>51</v>
      </c>
    </row>
    <row r="6" spans="2:13" s="68" customFormat="1" ht="14.5">
      <c r="B6" s="274" t="s">
        <v>261</v>
      </c>
      <c r="C6" s="275"/>
      <c r="D6" s="80" t="s">
        <v>262</v>
      </c>
      <c r="E6" s="81" t="s">
        <v>324</v>
      </c>
      <c r="F6" s="82" t="s">
        <v>325</v>
      </c>
      <c r="G6" s="83" t="s">
        <v>326</v>
      </c>
      <c r="H6" s="81" t="s">
        <v>324</v>
      </c>
      <c r="I6" s="82" t="s">
        <v>325</v>
      </c>
      <c r="J6" s="83" t="s">
        <v>326</v>
      </c>
      <c r="K6" s="81" t="s">
        <v>324</v>
      </c>
      <c r="L6" s="82" t="s">
        <v>325</v>
      </c>
      <c r="M6" s="83" t="s">
        <v>326</v>
      </c>
    </row>
    <row r="7" spans="2:13" s="68" customFormat="1" ht="29">
      <c r="B7" s="276" t="s">
        <v>263</v>
      </c>
      <c r="C7" s="277"/>
      <c r="D7" s="84" t="s">
        <v>169</v>
      </c>
      <c r="E7" s="85" t="s">
        <v>264</v>
      </c>
      <c r="F7" s="86" t="s">
        <v>265</v>
      </c>
      <c r="G7" s="87" t="s">
        <v>266</v>
      </c>
      <c r="H7" s="85" t="s">
        <v>264</v>
      </c>
      <c r="I7" s="86" t="s">
        <v>265</v>
      </c>
      <c r="J7" s="88" t="s">
        <v>266</v>
      </c>
      <c r="K7" s="89" t="s">
        <v>264</v>
      </c>
      <c r="L7" s="90" t="s">
        <v>267</v>
      </c>
      <c r="M7" s="77" t="s">
        <v>266</v>
      </c>
    </row>
    <row r="8" spans="2:13" ht="40.25" customHeight="1">
      <c r="B8" s="278" t="s">
        <v>268</v>
      </c>
      <c r="C8" s="279"/>
      <c r="D8" s="91" t="s">
        <v>269</v>
      </c>
      <c r="E8" s="280" t="s">
        <v>270</v>
      </c>
      <c r="F8" s="251"/>
      <c r="G8" s="251"/>
      <c r="H8" s="251"/>
      <c r="I8" s="251"/>
      <c r="J8" s="252"/>
      <c r="K8" s="251" t="s">
        <v>271</v>
      </c>
      <c r="L8" s="251"/>
      <c r="M8" s="252"/>
    </row>
    <row r="9" spans="2:13" ht="14.5">
      <c r="B9" s="92" t="s">
        <v>272</v>
      </c>
      <c r="C9" s="93"/>
      <c r="D9" s="94" t="s">
        <v>65</v>
      </c>
      <c r="E9" s="95" t="s">
        <v>273</v>
      </c>
      <c r="F9" s="96" t="s">
        <v>273</v>
      </c>
      <c r="G9" s="97" t="s">
        <v>273</v>
      </c>
      <c r="H9" s="95" t="s">
        <v>273</v>
      </c>
      <c r="I9" s="97" t="s">
        <v>273</v>
      </c>
      <c r="J9" s="98" t="s">
        <v>273</v>
      </c>
      <c r="K9" s="99" t="s">
        <v>65</v>
      </c>
      <c r="L9" s="100" t="s">
        <v>65</v>
      </c>
      <c r="M9" s="101" t="s">
        <v>65</v>
      </c>
    </row>
    <row r="10" spans="2:13" ht="14.5">
      <c r="B10" s="102"/>
      <c r="C10" s="103" t="s">
        <v>274</v>
      </c>
      <c r="D10" s="104" t="s">
        <v>65</v>
      </c>
      <c r="E10" s="238" t="s">
        <v>275</v>
      </c>
      <c r="F10" s="239"/>
      <c r="G10" s="239"/>
      <c r="H10" s="239"/>
      <c r="I10" s="239"/>
      <c r="J10" s="239"/>
      <c r="K10" s="239"/>
      <c r="L10" s="239"/>
      <c r="M10" s="240"/>
    </row>
    <row r="11" spans="2:13" ht="14.5">
      <c r="B11" s="102" t="s">
        <v>276</v>
      </c>
      <c r="C11" s="105"/>
      <c r="D11" s="106" t="s">
        <v>273</v>
      </c>
      <c r="E11" s="107" t="s">
        <v>273</v>
      </c>
      <c r="F11" s="108" t="s">
        <v>273</v>
      </c>
      <c r="G11" s="109" t="s">
        <v>273</v>
      </c>
      <c r="H11" s="107" t="s">
        <v>273</v>
      </c>
      <c r="I11" s="108" t="s">
        <v>273</v>
      </c>
      <c r="J11" s="110" t="s">
        <v>273</v>
      </c>
      <c r="K11" s="111" t="s">
        <v>273</v>
      </c>
      <c r="L11" s="108" t="s">
        <v>273</v>
      </c>
      <c r="M11" s="110" t="s">
        <v>273</v>
      </c>
    </row>
    <row r="12" spans="2:13" ht="14.5">
      <c r="B12" s="102" t="s">
        <v>277</v>
      </c>
      <c r="C12" s="105"/>
      <c r="D12" s="106" t="s">
        <v>273</v>
      </c>
      <c r="E12" s="107" t="s">
        <v>273</v>
      </c>
      <c r="F12" s="108" t="s">
        <v>273</v>
      </c>
      <c r="G12" s="109" t="s">
        <v>273</v>
      </c>
      <c r="H12" s="107" t="s">
        <v>273</v>
      </c>
      <c r="I12" s="108" t="s">
        <v>273</v>
      </c>
      <c r="J12" s="110" t="s">
        <v>273</v>
      </c>
      <c r="K12" s="111" t="s">
        <v>273</v>
      </c>
      <c r="L12" s="108" t="s">
        <v>273</v>
      </c>
      <c r="M12" s="110" t="s">
        <v>273</v>
      </c>
    </row>
    <row r="13" spans="2:13" ht="14.5">
      <c r="B13" s="102" t="s">
        <v>278</v>
      </c>
      <c r="C13" s="105"/>
      <c r="D13" s="112" t="s">
        <v>65</v>
      </c>
      <c r="E13" s="113" t="s">
        <v>65</v>
      </c>
      <c r="F13" s="114" t="s">
        <v>65</v>
      </c>
      <c r="G13" s="115" t="s">
        <v>65</v>
      </c>
      <c r="H13" s="107" t="s">
        <v>273</v>
      </c>
      <c r="I13" s="108" t="s">
        <v>273</v>
      </c>
      <c r="J13" s="110" t="s">
        <v>273</v>
      </c>
      <c r="K13" s="111" t="s">
        <v>273</v>
      </c>
      <c r="L13" s="108" t="s">
        <v>273</v>
      </c>
      <c r="M13" s="110" t="s">
        <v>273</v>
      </c>
    </row>
    <row r="14" spans="2:13" ht="14.5">
      <c r="B14" s="102" t="s">
        <v>279</v>
      </c>
      <c r="C14" s="105"/>
      <c r="D14" s="112" t="s">
        <v>65</v>
      </c>
      <c r="E14" s="113" t="s">
        <v>65</v>
      </c>
      <c r="F14" s="114" t="s">
        <v>65</v>
      </c>
      <c r="G14" s="115" t="s">
        <v>65</v>
      </c>
      <c r="H14" s="107" t="s">
        <v>273</v>
      </c>
      <c r="I14" s="108" t="s">
        <v>273</v>
      </c>
      <c r="J14" s="110" t="s">
        <v>273</v>
      </c>
      <c r="K14" s="111" t="s">
        <v>273</v>
      </c>
      <c r="L14" s="108" t="s">
        <v>273</v>
      </c>
      <c r="M14" s="110" t="s">
        <v>273</v>
      </c>
    </row>
    <row r="15" spans="2:13" ht="14.5">
      <c r="B15" s="102" t="s">
        <v>280</v>
      </c>
      <c r="C15" s="105"/>
      <c r="D15" s="112" t="s">
        <v>65</v>
      </c>
      <c r="E15" s="113" t="s">
        <v>65</v>
      </c>
      <c r="F15" s="114" t="s">
        <v>65</v>
      </c>
      <c r="G15" s="115" t="s">
        <v>65</v>
      </c>
      <c r="H15" s="107" t="s">
        <v>273</v>
      </c>
      <c r="I15" s="108" t="s">
        <v>273</v>
      </c>
      <c r="J15" s="110" t="s">
        <v>273</v>
      </c>
      <c r="K15" s="111" t="s">
        <v>273</v>
      </c>
      <c r="L15" s="108" t="s">
        <v>273</v>
      </c>
      <c r="M15" s="110" t="s">
        <v>273</v>
      </c>
    </row>
    <row r="16" spans="2:13" ht="14.5">
      <c r="B16" s="116" t="s">
        <v>281</v>
      </c>
      <c r="C16" s="117"/>
      <c r="D16" s="118" t="s">
        <v>65</v>
      </c>
      <c r="E16" s="119" t="s">
        <v>65</v>
      </c>
      <c r="F16" s="120" t="s">
        <v>65</v>
      </c>
      <c r="G16" s="121" t="s">
        <v>65</v>
      </c>
      <c r="H16" s="122" t="s">
        <v>273</v>
      </c>
      <c r="I16" s="123" t="s">
        <v>273</v>
      </c>
      <c r="J16" s="124" t="s">
        <v>273</v>
      </c>
      <c r="K16" s="125" t="s">
        <v>273</v>
      </c>
      <c r="L16" s="123" t="s">
        <v>273</v>
      </c>
      <c r="M16" s="124" t="s">
        <v>273</v>
      </c>
    </row>
    <row r="17" spans="2:16" ht="15" thickBot="1">
      <c r="B17" s="116" t="s">
        <v>282</v>
      </c>
      <c r="C17" s="117"/>
      <c r="D17" s="106" t="s">
        <v>273</v>
      </c>
      <c r="E17" s="126" t="s">
        <v>65</v>
      </c>
      <c r="F17" s="127" t="s">
        <v>65</v>
      </c>
      <c r="G17" s="128" t="s">
        <v>65</v>
      </c>
      <c r="H17" s="126" t="s">
        <v>65</v>
      </c>
      <c r="I17" s="127" t="s">
        <v>65</v>
      </c>
      <c r="J17" s="128" t="s">
        <v>65</v>
      </c>
      <c r="K17" s="126" t="s">
        <v>65</v>
      </c>
      <c r="L17" s="127" t="s">
        <v>65</v>
      </c>
      <c r="M17" s="129" t="s">
        <v>65</v>
      </c>
      <c r="P17" s="1">
        <f>75952*1.4</f>
        <v>106332.79999999999</v>
      </c>
    </row>
    <row r="18" spans="2:16" ht="14.5">
      <c r="B18" s="130" t="s">
        <v>283</v>
      </c>
      <c r="C18" s="131"/>
      <c r="D18" s="132" t="s">
        <v>65</v>
      </c>
      <c r="E18" s="133" t="s">
        <v>228</v>
      </c>
      <c r="F18" s="134" t="s">
        <v>228</v>
      </c>
      <c r="G18" s="135" t="s">
        <v>228</v>
      </c>
      <c r="H18" s="136" t="s">
        <v>273</v>
      </c>
      <c r="I18" s="137" t="s">
        <v>273</v>
      </c>
      <c r="J18" s="138" t="s">
        <v>273</v>
      </c>
      <c r="K18" s="139" t="s">
        <v>273</v>
      </c>
      <c r="L18" s="137" t="s">
        <v>273</v>
      </c>
      <c r="M18" s="138" t="s">
        <v>273</v>
      </c>
    </row>
    <row r="19" spans="2:16" ht="14.5">
      <c r="B19" s="102"/>
      <c r="C19" s="105" t="s">
        <v>284</v>
      </c>
      <c r="D19" s="112" t="s">
        <v>65</v>
      </c>
      <c r="E19" s="113" t="s">
        <v>65</v>
      </c>
      <c r="F19" s="114" t="s">
        <v>65</v>
      </c>
      <c r="G19" s="115" t="s">
        <v>65</v>
      </c>
      <c r="H19" s="107" t="s">
        <v>273</v>
      </c>
      <c r="I19" s="108" t="s">
        <v>273</v>
      </c>
      <c r="J19" s="110" t="s">
        <v>273</v>
      </c>
      <c r="K19" s="111" t="s">
        <v>273</v>
      </c>
      <c r="L19" s="108" t="s">
        <v>273</v>
      </c>
      <c r="M19" s="110" t="s">
        <v>273</v>
      </c>
    </row>
    <row r="20" spans="2:16" ht="14.5">
      <c r="B20" s="102"/>
      <c r="C20" s="105" t="s">
        <v>285</v>
      </c>
      <c r="D20" s="112" t="s">
        <v>273</v>
      </c>
      <c r="E20" s="140" t="s">
        <v>286</v>
      </c>
      <c r="F20" s="141" t="s">
        <v>286</v>
      </c>
      <c r="G20" s="142" t="s">
        <v>286</v>
      </c>
      <c r="H20" s="107" t="s">
        <v>273</v>
      </c>
      <c r="I20" s="108" t="s">
        <v>273</v>
      </c>
      <c r="J20" s="110" t="s">
        <v>273</v>
      </c>
      <c r="K20" s="111" t="s">
        <v>273</v>
      </c>
      <c r="L20" s="108" t="s">
        <v>273</v>
      </c>
      <c r="M20" s="110" t="s">
        <v>273</v>
      </c>
    </row>
    <row r="21" spans="2:16" ht="14.5">
      <c r="B21" s="102"/>
      <c r="C21" s="105" t="s">
        <v>287</v>
      </c>
      <c r="D21" s="112" t="s">
        <v>65</v>
      </c>
      <c r="E21" s="113" t="s">
        <v>65</v>
      </c>
      <c r="F21" s="114" t="s">
        <v>65</v>
      </c>
      <c r="G21" s="115" t="s">
        <v>65</v>
      </c>
      <c r="H21" s="107" t="s">
        <v>273</v>
      </c>
      <c r="I21" s="108" t="s">
        <v>273</v>
      </c>
      <c r="J21" s="110" t="s">
        <v>273</v>
      </c>
      <c r="K21" s="111" t="s">
        <v>273</v>
      </c>
      <c r="L21" s="108" t="s">
        <v>273</v>
      </c>
      <c r="M21" s="110" t="s">
        <v>273</v>
      </c>
    </row>
    <row r="22" spans="2:16" ht="15" thickBot="1">
      <c r="B22" s="143"/>
      <c r="C22" s="144" t="s">
        <v>288</v>
      </c>
      <c r="D22" s="145" t="s">
        <v>65</v>
      </c>
      <c r="E22" s="126" t="s">
        <v>65</v>
      </c>
      <c r="F22" s="127" t="s">
        <v>65</v>
      </c>
      <c r="G22" s="128" t="s">
        <v>65</v>
      </c>
      <c r="H22" s="146" t="s">
        <v>273</v>
      </c>
      <c r="I22" s="147" t="s">
        <v>273</v>
      </c>
      <c r="J22" s="148" t="s">
        <v>273</v>
      </c>
      <c r="K22" s="149" t="s">
        <v>273</v>
      </c>
      <c r="L22" s="147" t="s">
        <v>273</v>
      </c>
      <c r="M22" s="148" t="s">
        <v>273</v>
      </c>
    </row>
    <row r="23" spans="2:16" ht="14.5">
      <c r="B23" s="130" t="s">
        <v>289</v>
      </c>
      <c r="C23" s="131"/>
      <c r="D23" s="132" t="s">
        <v>65</v>
      </c>
      <c r="E23" s="133" t="s">
        <v>65</v>
      </c>
      <c r="F23" s="134" t="s">
        <v>65</v>
      </c>
      <c r="G23" s="135" t="s">
        <v>65</v>
      </c>
      <c r="H23" s="133" t="s">
        <v>65</v>
      </c>
      <c r="I23" s="134" t="s">
        <v>65</v>
      </c>
      <c r="J23" s="150" t="s">
        <v>65</v>
      </c>
      <c r="K23" s="139" t="s">
        <v>273</v>
      </c>
      <c r="L23" s="137" t="s">
        <v>273</v>
      </c>
      <c r="M23" s="138" t="s">
        <v>273</v>
      </c>
    </row>
    <row r="24" spans="2:16" ht="14.5">
      <c r="B24" s="102"/>
      <c r="C24" s="105" t="s">
        <v>221</v>
      </c>
      <c r="D24" s="112" t="s">
        <v>65</v>
      </c>
      <c r="E24" s="113" t="s">
        <v>65</v>
      </c>
      <c r="F24" s="114" t="s">
        <v>65</v>
      </c>
      <c r="G24" s="115" t="s">
        <v>65</v>
      </c>
      <c r="H24" s="113" t="s">
        <v>65</v>
      </c>
      <c r="I24" s="114" t="s">
        <v>65</v>
      </c>
      <c r="J24" s="151" t="s">
        <v>65</v>
      </c>
      <c r="K24" s="111" t="s">
        <v>273</v>
      </c>
      <c r="L24" s="108" t="s">
        <v>273</v>
      </c>
      <c r="M24" s="110" t="s">
        <v>273</v>
      </c>
    </row>
    <row r="25" spans="2:16" ht="15" thickBot="1">
      <c r="B25" s="143"/>
      <c r="C25" s="144" t="s">
        <v>290</v>
      </c>
      <c r="D25" s="145" t="s">
        <v>65</v>
      </c>
      <c r="E25" s="152" t="s">
        <v>286</v>
      </c>
      <c r="F25" s="153" t="s">
        <v>286</v>
      </c>
      <c r="G25" s="154" t="s">
        <v>286</v>
      </c>
      <c r="H25" s="126" t="s">
        <v>65</v>
      </c>
      <c r="I25" s="127" t="s">
        <v>65</v>
      </c>
      <c r="J25" s="129" t="s">
        <v>65</v>
      </c>
      <c r="K25" s="149" t="s">
        <v>273</v>
      </c>
      <c r="L25" s="147" t="s">
        <v>273</v>
      </c>
      <c r="M25" s="148" t="s">
        <v>273</v>
      </c>
    </row>
    <row r="26" spans="2:16" ht="14.5">
      <c r="B26" s="241" t="s">
        <v>291</v>
      </c>
      <c r="C26" s="242"/>
      <c r="D26" s="155" t="s">
        <v>273</v>
      </c>
      <c r="E26" s="95" t="s">
        <v>273</v>
      </c>
      <c r="F26" s="96" t="s">
        <v>273</v>
      </c>
      <c r="G26" s="97" t="s">
        <v>273</v>
      </c>
      <c r="H26" s="95" t="s">
        <v>273</v>
      </c>
      <c r="I26" s="96" t="s">
        <v>273</v>
      </c>
      <c r="J26" s="98" t="s">
        <v>273</v>
      </c>
      <c r="K26" s="156" t="s">
        <v>273</v>
      </c>
      <c r="L26" s="96" t="s">
        <v>273</v>
      </c>
      <c r="M26" s="98" t="s">
        <v>273</v>
      </c>
    </row>
    <row r="27" spans="2:16" ht="14.5">
      <c r="B27" s="243" t="s">
        <v>292</v>
      </c>
      <c r="C27" s="244"/>
      <c r="D27" s="238" t="s">
        <v>293</v>
      </c>
      <c r="E27" s="239"/>
      <c r="F27" s="239"/>
      <c r="G27" s="239"/>
      <c r="H27" s="239"/>
      <c r="I27" s="239"/>
      <c r="J27" s="240"/>
      <c r="K27" s="238" t="s">
        <v>294</v>
      </c>
      <c r="L27" s="239"/>
      <c r="M27" s="240"/>
    </row>
    <row r="28" spans="2:16" ht="15" thickBot="1">
      <c r="B28" s="143" t="s">
        <v>295</v>
      </c>
      <c r="C28" s="144"/>
      <c r="D28" s="145" t="s">
        <v>65</v>
      </c>
      <c r="E28" s="126" t="s">
        <v>65</v>
      </c>
      <c r="F28" s="127" t="s">
        <v>65</v>
      </c>
      <c r="G28" s="157" t="s">
        <v>273</v>
      </c>
      <c r="H28" s="126" t="s">
        <v>65</v>
      </c>
      <c r="I28" s="127" t="s">
        <v>65</v>
      </c>
      <c r="J28" s="148" t="s">
        <v>273</v>
      </c>
      <c r="K28" s="149" t="s">
        <v>273</v>
      </c>
      <c r="L28" s="147" t="s">
        <v>273</v>
      </c>
      <c r="M28" s="148" t="s">
        <v>273</v>
      </c>
    </row>
    <row r="31" spans="2:16" ht="12" thickBot="1"/>
    <row r="32" spans="2:16" ht="16.25" customHeight="1" thickBot="1">
      <c r="B32" s="245"/>
      <c r="C32" s="245"/>
      <c r="D32" s="246" t="s">
        <v>296</v>
      </c>
      <c r="E32" s="247"/>
      <c r="F32" s="246" t="s">
        <v>297</v>
      </c>
      <c r="G32" s="248"/>
      <c r="H32" s="249" t="s">
        <v>298</v>
      </c>
      <c r="I32" s="248"/>
      <c r="J32" s="249" t="s">
        <v>299</v>
      </c>
      <c r="K32" s="250"/>
      <c r="L32" s="158"/>
      <c r="M32" s="158"/>
    </row>
    <row r="33" spans="2:13" ht="13.75" customHeight="1">
      <c r="B33" s="214" t="s">
        <v>300</v>
      </c>
      <c r="C33" s="215"/>
      <c r="D33" s="218" t="s">
        <v>301</v>
      </c>
      <c r="E33" s="219"/>
      <c r="F33" s="220" t="s">
        <v>302</v>
      </c>
      <c r="G33" s="221"/>
      <c r="H33" s="221"/>
      <c r="I33" s="221"/>
      <c r="J33" s="221"/>
      <c r="K33" s="222"/>
    </row>
    <row r="34" spans="2:13" ht="13.75" customHeight="1" thickBot="1">
      <c r="B34" s="216"/>
      <c r="C34" s="217"/>
      <c r="D34" s="206" t="s">
        <v>303</v>
      </c>
      <c r="E34" s="207"/>
      <c r="F34" s="208" t="s">
        <v>302</v>
      </c>
      <c r="G34" s="209"/>
      <c r="H34" s="209"/>
      <c r="I34" s="209"/>
      <c r="J34" s="209"/>
      <c r="K34" s="223"/>
    </row>
    <row r="35" spans="2:13" ht="13.75" customHeight="1">
      <c r="B35" s="214" t="s">
        <v>304</v>
      </c>
      <c r="C35" s="215"/>
      <c r="D35" s="218" t="s">
        <v>305</v>
      </c>
      <c r="E35" s="219"/>
      <c r="F35" s="220" t="s">
        <v>306</v>
      </c>
      <c r="G35" s="221"/>
      <c r="H35" s="226" t="s">
        <v>307</v>
      </c>
      <c r="I35" s="226"/>
      <c r="J35" s="227"/>
      <c r="K35" s="228"/>
      <c r="L35" s="158"/>
      <c r="M35" s="158"/>
    </row>
    <row r="36" spans="2:13" ht="13.75" customHeight="1">
      <c r="B36" s="224"/>
      <c r="C36" s="225"/>
      <c r="D36" s="229" t="s">
        <v>308</v>
      </c>
      <c r="E36" s="230"/>
      <c r="F36" s="231" t="s">
        <v>309</v>
      </c>
      <c r="G36" s="232"/>
      <c r="H36" s="233" t="s">
        <v>310</v>
      </c>
      <c r="I36" s="233"/>
      <c r="J36" s="234" t="s">
        <v>311</v>
      </c>
      <c r="K36" s="235"/>
      <c r="L36" s="158"/>
      <c r="M36" s="158"/>
    </row>
    <row r="37" spans="2:13" ht="30.65" customHeight="1">
      <c r="B37" s="224"/>
      <c r="C37" s="225"/>
      <c r="D37" s="198" t="s">
        <v>312</v>
      </c>
      <c r="E37" s="199"/>
      <c r="F37" s="200" t="s">
        <v>250</v>
      </c>
      <c r="G37" s="201"/>
      <c r="H37" s="204" t="s">
        <v>307</v>
      </c>
      <c r="I37" s="204"/>
      <c r="J37" s="204"/>
      <c r="K37" s="205"/>
      <c r="L37" s="158"/>
      <c r="M37" s="158"/>
    </row>
    <row r="38" spans="2:13" ht="13.75" customHeight="1">
      <c r="B38" s="224"/>
      <c r="C38" s="225"/>
      <c r="D38" s="198" t="s">
        <v>313</v>
      </c>
      <c r="E38" s="199"/>
      <c r="F38" s="200" t="s">
        <v>250</v>
      </c>
      <c r="G38" s="201"/>
      <c r="H38" s="236"/>
      <c r="I38" s="237"/>
      <c r="J38" s="204" t="s">
        <v>307</v>
      </c>
      <c r="K38" s="205"/>
      <c r="L38" s="158"/>
      <c r="M38" s="158"/>
    </row>
    <row r="39" spans="2:13" ht="13.75" customHeight="1">
      <c r="B39" s="224"/>
      <c r="C39" s="225"/>
      <c r="D39" s="198" t="s">
        <v>314</v>
      </c>
      <c r="E39" s="199"/>
      <c r="F39" s="200" t="s">
        <v>250</v>
      </c>
      <c r="G39" s="201"/>
      <c r="H39" s="202"/>
      <c r="I39" s="203"/>
      <c r="J39" s="204" t="s">
        <v>307</v>
      </c>
      <c r="K39" s="205"/>
      <c r="L39" s="158"/>
      <c r="M39" s="158"/>
    </row>
    <row r="40" spans="2:13" ht="13.75" customHeight="1">
      <c r="B40" s="224"/>
      <c r="C40" s="225"/>
      <c r="D40" s="198" t="s">
        <v>315</v>
      </c>
      <c r="E40" s="199"/>
      <c r="F40" s="200" t="s">
        <v>250</v>
      </c>
      <c r="G40" s="201"/>
      <c r="H40" s="202"/>
      <c r="I40" s="203"/>
      <c r="J40" s="204" t="s">
        <v>307</v>
      </c>
      <c r="K40" s="205"/>
      <c r="L40" s="158"/>
      <c r="M40" s="158"/>
    </row>
    <row r="41" spans="2:13" ht="13.75" customHeight="1" thickBot="1">
      <c r="B41" s="216"/>
      <c r="C41" s="217"/>
      <c r="D41" s="206" t="s">
        <v>316</v>
      </c>
      <c r="E41" s="207"/>
      <c r="F41" s="208"/>
      <c r="G41" s="209"/>
      <c r="H41" s="210"/>
      <c r="I41" s="211"/>
      <c r="J41" s="212" t="s">
        <v>307</v>
      </c>
      <c r="K41" s="213"/>
      <c r="L41" s="158"/>
      <c r="M41" s="158"/>
    </row>
    <row r="42" spans="2:13" ht="13.75" customHeight="1">
      <c r="B42" s="189" t="s">
        <v>317</v>
      </c>
      <c r="C42" s="190"/>
      <c r="D42" s="190"/>
      <c r="E42" s="190"/>
      <c r="F42" s="190"/>
      <c r="G42" s="190"/>
      <c r="H42" s="190"/>
      <c r="I42" s="190"/>
      <c r="J42" s="190"/>
      <c r="K42" s="191"/>
    </row>
    <row r="43" spans="2:13" ht="13.75" customHeight="1">
      <c r="B43" s="192" t="s">
        <v>318</v>
      </c>
      <c r="C43" s="193"/>
      <c r="D43" s="193"/>
      <c r="E43" s="193"/>
      <c r="F43" s="193"/>
      <c r="G43" s="193"/>
      <c r="H43" s="193"/>
      <c r="I43" s="193"/>
      <c r="J43" s="193"/>
      <c r="K43" s="194"/>
    </row>
    <row r="44" spans="2:13" ht="27.65" customHeight="1">
      <c r="B44" s="192" t="s">
        <v>319</v>
      </c>
      <c r="C44" s="193"/>
      <c r="D44" s="193"/>
      <c r="E44" s="193"/>
      <c r="F44" s="193"/>
      <c r="G44" s="193"/>
      <c r="H44" s="193"/>
      <c r="I44" s="193"/>
      <c r="J44" s="193"/>
      <c r="K44" s="194"/>
    </row>
    <row r="45" spans="2:13" ht="41.4" customHeight="1">
      <c r="B45" s="192" t="s">
        <v>320</v>
      </c>
      <c r="C45" s="193"/>
      <c r="D45" s="193"/>
      <c r="E45" s="193"/>
      <c r="F45" s="193"/>
      <c r="G45" s="193"/>
      <c r="H45" s="193"/>
      <c r="I45" s="193"/>
      <c r="J45" s="193"/>
      <c r="K45" s="194"/>
    </row>
    <row r="46" spans="2:13" ht="30.65" customHeight="1" thickBot="1">
      <c r="B46" s="195" t="s">
        <v>321</v>
      </c>
      <c r="C46" s="196"/>
      <c r="D46" s="196"/>
      <c r="E46" s="196"/>
      <c r="F46" s="196"/>
      <c r="G46" s="196"/>
      <c r="H46" s="196"/>
      <c r="I46" s="196"/>
      <c r="J46" s="196"/>
      <c r="K46" s="197"/>
    </row>
  </sheetData>
  <mergeCells count="62">
    <mergeCell ref="K8:M8"/>
    <mergeCell ref="B3:C3"/>
    <mergeCell ref="E3:J3"/>
    <mergeCell ref="K3:M3"/>
    <mergeCell ref="B4:C4"/>
    <mergeCell ref="E4:G4"/>
    <mergeCell ref="H4:J4"/>
    <mergeCell ref="K4:M4"/>
    <mergeCell ref="B5:C5"/>
    <mergeCell ref="B6:C6"/>
    <mergeCell ref="B7:C7"/>
    <mergeCell ref="B8:C8"/>
    <mergeCell ref="E8:J8"/>
    <mergeCell ref="B32:C32"/>
    <mergeCell ref="D32:E32"/>
    <mergeCell ref="F32:G32"/>
    <mergeCell ref="H32:I32"/>
    <mergeCell ref="J32:K32"/>
    <mergeCell ref="E10:M10"/>
    <mergeCell ref="B26:C26"/>
    <mergeCell ref="B27:C27"/>
    <mergeCell ref="D27:J27"/>
    <mergeCell ref="K27:M27"/>
    <mergeCell ref="B35:C41"/>
    <mergeCell ref="D35:E35"/>
    <mergeCell ref="F35:G35"/>
    <mergeCell ref="H35:I35"/>
    <mergeCell ref="J35:K35"/>
    <mergeCell ref="D36:E36"/>
    <mergeCell ref="F36:G36"/>
    <mergeCell ref="H36:I36"/>
    <mergeCell ref="J36:K36"/>
    <mergeCell ref="D37:E37"/>
    <mergeCell ref="F37:G37"/>
    <mergeCell ref="H37:I37"/>
    <mergeCell ref="J37:K37"/>
    <mergeCell ref="D38:E38"/>
    <mergeCell ref="F38:G38"/>
    <mergeCell ref="H38:I38"/>
    <mergeCell ref="B33:C34"/>
    <mergeCell ref="D33:E33"/>
    <mergeCell ref="F33:K33"/>
    <mergeCell ref="D34:E34"/>
    <mergeCell ref="F34:K34"/>
    <mergeCell ref="J38:K38"/>
    <mergeCell ref="D39:E39"/>
    <mergeCell ref="F39:G39"/>
    <mergeCell ref="H39:I39"/>
    <mergeCell ref="J39:K39"/>
    <mergeCell ref="D40:E40"/>
    <mergeCell ref="F40:G40"/>
    <mergeCell ref="H40:I40"/>
    <mergeCell ref="J40:K40"/>
    <mergeCell ref="D41:E41"/>
    <mergeCell ref="F41:G41"/>
    <mergeCell ref="H41:I41"/>
    <mergeCell ref="J41:K41"/>
    <mergeCell ref="B42:K42"/>
    <mergeCell ref="B43:K43"/>
    <mergeCell ref="B44:K44"/>
    <mergeCell ref="B45:K45"/>
    <mergeCell ref="B46:K46"/>
  </mergeCells>
  <phoneticPr fontId="8"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33"/>
  <sheetViews>
    <sheetView topLeftCell="A4" zoomScale="85" zoomScaleNormal="85" workbookViewId="0">
      <selection activeCell="E20" sqref="E20"/>
    </sheetView>
  </sheetViews>
  <sheetFormatPr defaultRowHeight="16" customHeight="1"/>
  <cols>
    <col min="1" max="1" width="21.7265625" style="1" bestFit="1" customWidth="1"/>
    <col min="2" max="2" width="22.26953125" style="1" customWidth="1"/>
    <col min="3" max="3" width="4" style="1" customWidth="1"/>
    <col min="4" max="4" width="21.90625" style="1" bestFit="1" customWidth="1"/>
    <col min="5" max="5" width="42.26953125" style="1" customWidth="1"/>
    <col min="6" max="16384" width="8.7265625" style="1"/>
  </cols>
  <sheetData>
    <row r="1" spans="1:5" ht="16" customHeight="1">
      <c r="A1" s="3" t="s">
        <v>66</v>
      </c>
    </row>
    <row r="2" spans="1:5" ht="16" customHeight="1">
      <c r="A2" s="3"/>
    </row>
    <row r="3" spans="1:5" ht="16" customHeight="1">
      <c r="A3" s="2" t="s">
        <v>141</v>
      </c>
      <c r="D3" s="2" t="s">
        <v>142</v>
      </c>
    </row>
    <row r="4" spans="1:5" ht="16" customHeight="1">
      <c r="A4" s="37" t="s">
        <v>67</v>
      </c>
      <c r="B4" s="178"/>
      <c r="D4" s="37" t="s">
        <v>68</v>
      </c>
      <c r="E4" s="42" t="s">
        <v>424</v>
      </c>
    </row>
    <row r="5" spans="1:5" ht="16" customHeight="1">
      <c r="A5" s="37" t="s">
        <v>69</v>
      </c>
      <c r="B5" s="42" t="s">
        <v>417</v>
      </c>
      <c r="D5" s="161" t="s">
        <v>330</v>
      </c>
      <c r="E5" s="180" t="s">
        <v>424</v>
      </c>
    </row>
    <row r="6" spans="1:5" ht="16" customHeight="1">
      <c r="A6" s="37" t="s">
        <v>71</v>
      </c>
      <c r="B6" s="8"/>
      <c r="D6" s="161" t="s">
        <v>331</v>
      </c>
      <c r="E6" s="162" t="s">
        <v>425</v>
      </c>
    </row>
    <row r="7" spans="1:5" ht="16" customHeight="1">
      <c r="A7" s="37" t="s">
        <v>72</v>
      </c>
      <c r="B7" s="8"/>
      <c r="D7" s="37" t="s">
        <v>70</v>
      </c>
      <c r="E7" s="165">
        <f>E3T.EGM</f>
        <v>0.33404634186537163</v>
      </c>
    </row>
    <row r="8" spans="1:5" ht="16" customHeight="1">
      <c r="A8" s="37" t="s">
        <v>74</v>
      </c>
      <c r="B8" s="56" t="s">
        <v>418</v>
      </c>
      <c r="D8" s="37" t="s">
        <v>1</v>
      </c>
      <c r="E8" s="165">
        <f>E3T.FLGM</f>
        <v>0.15034922448872881</v>
      </c>
    </row>
    <row r="9" spans="1:5" ht="16" customHeight="1">
      <c r="A9" s="37" t="s">
        <v>76</v>
      </c>
      <c r="B9" s="8"/>
      <c r="D9" s="37" t="s">
        <v>73</v>
      </c>
      <c r="E9" s="165">
        <f>E3T.RISK_RATE</f>
        <v>0.03</v>
      </c>
    </row>
    <row r="10" spans="1:5" ht="16" customHeight="1">
      <c r="A10" s="37" t="s">
        <v>78</v>
      </c>
      <c r="B10" s="8"/>
      <c r="D10" s="37" t="s">
        <v>75</v>
      </c>
      <c r="E10" s="166">
        <v>44866</v>
      </c>
    </row>
    <row r="11" spans="1:5" ht="16" customHeight="1">
      <c r="A11" s="37" t="s">
        <v>80</v>
      </c>
      <c r="B11" s="41" t="s">
        <v>91</v>
      </c>
      <c r="D11" s="37" t="s">
        <v>77</v>
      </c>
      <c r="E11" s="166">
        <v>44985</v>
      </c>
    </row>
    <row r="12" spans="1:5" ht="16" customHeight="1">
      <c r="A12" s="37" t="s">
        <v>82</v>
      </c>
      <c r="B12" s="38"/>
      <c r="D12" s="37" t="s">
        <v>79</v>
      </c>
      <c r="E12" s="41" t="s">
        <v>419</v>
      </c>
    </row>
    <row r="13" spans="1:5" ht="16" customHeight="1">
      <c r="A13" s="37" t="s">
        <v>0</v>
      </c>
      <c r="B13" s="176"/>
      <c r="D13" s="37" t="s">
        <v>81</v>
      </c>
      <c r="E13" s="46" t="s">
        <v>253</v>
      </c>
    </row>
    <row r="14" spans="1:5" ht="16" customHeight="1">
      <c r="A14" s="37" t="s">
        <v>85</v>
      </c>
      <c r="B14" s="42" t="s">
        <v>418</v>
      </c>
      <c r="D14" s="37" t="s">
        <v>83</v>
      </c>
      <c r="E14" s="47" t="str">
        <f>VLOOKUP(DI.ProjectManager, 'Meta data'!$E$44:$G$63, 2, FALSE)</f>
        <v>010-4747-0509</v>
      </c>
    </row>
    <row r="15" spans="1:5" ht="16" customHeight="1">
      <c r="A15" s="37" t="s">
        <v>86</v>
      </c>
      <c r="B15" s="8"/>
      <c r="D15" s="37" t="s">
        <v>84</v>
      </c>
      <c r="E15" s="47" t="str">
        <f>VLOOKUP(DI.ProjectManager, 'Meta data'!$E$44:$G$63, 3, FALSE)</f>
        <v>yong-seon.jang@hpe.com</v>
      </c>
    </row>
    <row r="16" spans="1:5" ht="16" customHeight="1">
      <c r="A16" s="37" t="s">
        <v>87</v>
      </c>
      <c r="B16" s="42"/>
      <c r="D16" s="37" t="s">
        <v>146</v>
      </c>
      <c r="E16" s="42" t="s">
        <v>252</v>
      </c>
    </row>
    <row r="17" spans="1:5" ht="16" customHeight="1">
      <c r="A17" s="37" t="s">
        <v>3</v>
      </c>
      <c r="B17" s="63">
        <v>1345</v>
      </c>
      <c r="D17" s="37" t="s">
        <v>147</v>
      </c>
      <c r="E17" s="42" t="s">
        <v>420</v>
      </c>
    </row>
    <row r="18" spans="1:5" ht="16" customHeight="1">
      <c r="D18" s="37" t="s">
        <v>148</v>
      </c>
      <c r="E18" s="42" t="s">
        <v>401</v>
      </c>
    </row>
    <row r="19" spans="1:5" ht="16" customHeight="1">
      <c r="D19" s="37" t="s">
        <v>149</v>
      </c>
      <c r="E19" s="42" t="s">
        <v>327</v>
      </c>
    </row>
    <row r="20" spans="1:5" ht="16" customHeight="1">
      <c r="D20" s="37" t="s">
        <v>150</v>
      </c>
      <c r="E20" s="42" t="s">
        <v>328</v>
      </c>
    </row>
    <row r="21" spans="1:5" ht="16" customHeight="1">
      <c r="A21" s="2" t="s">
        <v>143</v>
      </c>
    </row>
    <row r="22" spans="1:5" ht="16" customHeight="1">
      <c r="A22" s="37" t="s">
        <v>144</v>
      </c>
      <c r="B22" s="42">
        <v>4</v>
      </c>
    </row>
    <row r="23" spans="1:5" ht="16" customHeight="1">
      <c r="A23" s="37" t="s">
        <v>145</v>
      </c>
      <c r="B23" s="56">
        <v>4</v>
      </c>
    </row>
    <row r="24" spans="1:5" ht="16" customHeight="1">
      <c r="A24" s="37" t="s">
        <v>151</v>
      </c>
      <c r="B24" s="41" t="s">
        <v>156</v>
      </c>
    </row>
    <row r="26" spans="1:5" ht="43" customHeight="1">
      <c r="A26" s="159" t="s">
        <v>170</v>
      </c>
      <c r="B26" s="284"/>
      <c r="C26" s="285"/>
      <c r="D26" s="285"/>
      <c r="E26" s="286"/>
    </row>
    <row r="27" spans="1:5" ht="38.5" customHeight="1">
      <c r="A27" s="159" t="s">
        <v>322</v>
      </c>
      <c r="B27" s="287"/>
      <c r="C27" s="288"/>
      <c r="D27" s="288"/>
      <c r="E27" s="288"/>
    </row>
    <row r="28" spans="1:5" ht="45.5" customHeight="1">
      <c r="A28" s="160" t="s">
        <v>329</v>
      </c>
      <c r="B28" s="287"/>
      <c r="C28" s="288"/>
      <c r="D28" s="288"/>
      <c r="E28" s="288"/>
    </row>
    <row r="29" spans="1:5" ht="53.5" customHeight="1">
      <c r="A29" s="281" t="s">
        <v>396</v>
      </c>
      <c r="B29" s="289"/>
      <c r="C29" s="290"/>
      <c r="D29" s="291"/>
      <c r="E29" s="292"/>
    </row>
    <row r="30" spans="1:5" ht="66.5" customHeight="1">
      <c r="A30" s="282"/>
      <c r="B30" s="289"/>
      <c r="C30" s="290"/>
      <c r="D30" s="291"/>
      <c r="E30" s="293"/>
    </row>
    <row r="31" spans="1:5" ht="55.5" customHeight="1">
      <c r="A31" s="282"/>
      <c r="B31" s="289"/>
      <c r="C31" s="290"/>
      <c r="D31" s="291"/>
      <c r="E31" s="293"/>
    </row>
    <row r="32" spans="1:5" ht="37.5" customHeight="1">
      <c r="A32" s="282"/>
      <c r="B32" s="289"/>
      <c r="C32" s="290"/>
      <c r="D32" s="291"/>
      <c r="E32" s="293"/>
    </row>
    <row r="33" spans="1:5" ht="37.5" customHeight="1">
      <c r="A33" s="283"/>
      <c r="B33" s="289"/>
      <c r="C33" s="290"/>
      <c r="D33" s="291"/>
      <c r="E33" s="293"/>
    </row>
  </sheetData>
  <mergeCells count="14">
    <mergeCell ref="A29:A33"/>
    <mergeCell ref="B26:E26"/>
    <mergeCell ref="B27:E27"/>
    <mergeCell ref="B28:E28"/>
    <mergeCell ref="B29:C29"/>
    <mergeCell ref="D29:E29"/>
    <mergeCell ref="B30:C30"/>
    <mergeCell ref="D30:E30"/>
    <mergeCell ref="B31:C31"/>
    <mergeCell ref="D31:E31"/>
    <mergeCell ref="B32:C32"/>
    <mergeCell ref="D32:E32"/>
    <mergeCell ref="D33:E33"/>
    <mergeCell ref="B33:C33"/>
  </mergeCells>
  <phoneticPr fontId="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write_E3T_Details">
                <anchor moveWithCells="1" sizeWithCells="1">
                  <from>
                    <xdr:col>0</xdr:col>
                    <xdr:colOff>69850</xdr:colOff>
                    <xdr:row>18</xdr:row>
                    <xdr:rowOff>95250</xdr:rowOff>
                  </from>
                  <to>
                    <xdr:col>0</xdr:col>
                    <xdr:colOff>1365250</xdr:colOff>
                    <xdr:row>19</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'Meta data'!$E$5:$E$26</xm:f>
          </x14:formula1>
          <xm:sqref>B11</xm:sqref>
        </x14:dataValidation>
        <x14:dataValidation type="list" allowBlank="1" showInputMessage="1" showErrorMessage="1">
          <x14:formula1>
            <xm:f>'Meta data'!$I$5:$I$11</xm:f>
          </x14:formula1>
          <xm:sqref>B24</xm:sqref>
        </x14:dataValidation>
        <x14:dataValidation type="list" allowBlank="1" showInputMessage="1" showErrorMessage="1">
          <x14:formula1>
            <xm:f>'Meta data'!$E$44:$E$63</xm:f>
          </x14:formula1>
          <xm:sqref>E12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R42"/>
  <sheetViews>
    <sheetView tabSelected="1" zoomScale="70" zoomScaleNormal="70" workbookViewId="0">
      <selection activeCell="B10" sqref="B10"/>
    </sheetView>
  </sheetViews>
  <sheetFormatPr defaultRowHeight="16" customHeight="1"/>
  <cols>
    <col min="1" max="1" width="16.36328125" style="1" customWidth="1"/>
    <col min="2" max="2" width="16.54296875" style="1" customWidth="1"/>
    <col min="3" max="3" width="15.54296875" style="1" customWidth="1"/>
    <col min="4" max="4" width="16.08984375" style="1" customWidth="1"/>
    <col min="5" max="5" width="15.7265625" style="1" customWidth="1"/>
    <col min="6" max="6" width="14.453125" style="4" customWidth="1"/>
    <col min="7" max="7" width="2.1796875" style="1" customWidth="1"/>
    <col min="8" max="8" width="14.08984375" style="1" customWidth="1"/>
    <col min="9" max="9" width="6.6328125" style="1" customWidth="1"/>
    <col min="10" max="10" width="8.6328125" style="4" customWidth="1"/>
    <col min="11" max="11" width="14.81640625" style="1" customWidth="1"/>
    <col min="12" max="12" width="9.08984375" style="1" customWidth="1"/>
    <col min="13" max="13" width="7.08984375" style="1" customWidth="1"/>
    <col min="14" max="14" width="14" style="1" customWidth="1"/>
    <col min="15" max="15" width="2.08984375" style="1" customWidth="1"/>
    <col min="16" max="16" width="14.81640625" style="1" customWidth="1"/>
    <col min="17" max="17" width="24.453125" style="1" customWidth="1"/>
    <col min="18" max="18" width="17.90625" style="1" customWidth="1"/>
    <col min="19" max="16384" width="8.7265625" style="1"/>
  </cols>
  <sheetData>
    <row r="1" spans="1:18" ht="7" customHeight="1"/>
    <row r="2" spans="1:18" ht="16" customHeight="1">
      <c r="A2" s="187" t="s">
        <v>6</v>
      </c>
      <c r="C2" s="33"/>
      <c r="D2" s="25" t="s">
        <v>38</v>
      </c>
      <c r="H2" s="25" t="s">
        <v>4</v>
      </c>
      <c r="K2" s="35"/>
      <c r="L2" s="35"/>
      <c r="M2" s="35"/>
      <c r="N2" s="35"/>
      <c r="P2" s="25" t="s">
        <v>5</v>
      </c>
      <c r="R2" s="35"/>
    </row>
    <row r="3" spans="1:18" ht="16" customHeight="1">
      <c r="A3" s="186" t="s">
        <v>0</v>
      </c>
      <c r="B3" s="9">
        <f>F24</f>
        <v>474757000</v>
      </c>
      <c r="C3" s="58"/>
      <c r="D3" s="296" t="s">
        <v>57</v>
      </c>
      <c r="E3" s="296"/>
      <c r="F3" s="7" t="str">
        <f>IF(AND(TCV_USD&lt;75000, FLGM&gt;=FLGM_STD), "O", " -")</f>
        <v xml:space="preserve"> -</v>
      </c>
      <c r="H3" s="14" t="s">
        <v>24</v>
      </c>
      <c r="I3" s="297">
        <f>IF(UTIL_STD="Total hours", SUM(N12:N15), SUM(N19:N23))+N25</f>
        <v>26332048</v>
      </c>
      <c r="J3" s="297"/>
      <c r="K3" s="35"/>
      <c r="L3" s="35"/>
      <c r="M3" s="35"/>
      <c r="N3" s="35"/>
      <c r="P3" s="14" t="s">
        <v>25</v>
      </c>
      <c r="Q3" s="20">
        <f>SUM(B21:B22)</f>
        <v>286000000</v>
      </c>
      <c r="R3" s="35"/>
    </row>
    <row r="4" spans="1:18" ht="16" customHeight="1">
      <c r="A4" s="186" t="s">
        <v>27</v>
      </c>
      <c r="B4" s="23">
        <f>B3/B6</f>
        <v>352979.18215613381</v>
      </c>
      <c r="C4" s="57"/>
      <c r="D4" s="296" t="s">
        <v>58</v>
      </c>
      <c r="E4" s="296"/>
      <c r="F4" s="183" t="str">
        <f>IF(AND(TCV_USD&lt;75000, FLGM&lt;FLGM_STD), "O", " -")</f>
        <v xml:space="preserve"> -</v>
      </c>
      <c r="H4" s="14" t="s">
        <v>41</v>
      </c>
      <c r="I4" s="297">
        <f>F20</f>
        <v>41514000</v>
      </c>
      <c r="J4" s="297"/>
      <c r="K4" s="35"/>
      <c r="L4" s="35"/>
      <c r="M4" s="35"/>
      <c r="N4" s="35"/>
      <c r="P4" s="14" t="s">
        <v>42</v>
      </c>
      <c r="Q4" s="20">
        <f>SUM(F21:F22)</f>
        <v>433243000</v>
      </c>
      <c r="R4" s="35"/>
    </row>
    <row r="5" spans="1:18" ht="16" customHeight="1">
      <c r="A5" s="186" t="s">
        <v>29</v>
      </c>
      <c r="B5" s="9">
        <f>B3*1.1</f>
        <v>522232700.00000006</v>
      </c>
      <c r="C5" s="33"/>
      <c r="D5" s="296" t="s">
        <v>52</v>
      </c>
      <c r="E5" s="296"/>
      <c r="F5" s="7" t="str">
        <f>IF(AND(AND(AND(TCV_USD&gt;=75000, TCV_USD&lt;500000), (HPETCV_USD+THSTCV_USD)&lt;250000), FLGM&gt;=FLGM_STD), "O", " -")</f>
        <v>O</v>
      </c>
      <c r="H5" s="14" t="s">
        <v>39</v>
      </c>
      <c r="I5" s="298">
        <f>I4/B6</f>
        <v>30865.42750929368</v>
      </c>
      <c r="J5" s="298"/>
      <c r="K5" s="35"/>
      <c r="L5" s="35"/>
      <c r="M5" s="35"/>
      <c r="N5" s="35"/>
      <c r="P5" s="14" t="s">
        <v>40</v>
      </c>
      <c r="Q5" s="24">
        <f>Q4/B6</f>
        <v>322113.75464684016</v>
      </c>
      <c r="R5" s="35"/>
    </row>
    <row r="6" spans="1:18" ht="16" customHeight="1">
      <c r="A6" s="186" t="s">
        <v>3</v>
      </c>
      <c r="B6" s="26">
        <v>1345</v>
      </c>
      <c r="C6" s="33"/>
      <c r="D6" s="294" t="s">
        <v>53</v>
      </c>
      <c r="E6" s="295"/>
      <c r="F6" s="183" t="str">
        <f>IF(AND(AND(AND(TCV_USD&gt;=75000, TCV_USD&lt;500000), (HPETCV_USD+THSTCV_USD)&lt;250000), FLGM&lt;FLGM_STD), "O", " -")</f>
        <v xml:space="preserve"> -</v>
      </c>
      <c r="H6" s="182" t="s">
        <v>429</v>
      </c>
      <c r="I6" s="298">
        <f>THSTCV_USD+HPETCV_USD</f>
        <v>248889.96282527881</v>
      </c>
      <c r="J6" s="298"/>
      <c r="K6" s="35"/>
      <c r="L6" s="35"/>
      <c r="M6" s="35"/>
      <c r="N6" s="35"/>
      <c r="O6" s="33"/>
      <c r="P6" s="33"/>
      <c r="Q6" s="33"/>
      <c r="R6" s="35"/>
    </row>
    <row r="7" spans="1:18" ht="16" customHeight="1">
      <c r="A7" s="188" t="s">
        <v>430</v>
      </c>
      <c r="B7" s="66">
        <v>0.15</v>
      </c>
      <c r="C7" s="33"/>
      <c r="D7" s="294" t="s">
        <v>54</v>
      </c>
      <c r="E7" s="295"/>
      <c r="F7" s="183" t="str">
        <f>IF(AND(AND(AND(TCV_USD&gt;=250000, TCV_USD&lt;500000), (HPETCV_USD+THSTCV_USD)&gt;=250000), FLGM&gt;=FLGM_STD), "O", " -")</f>
        <v xml:space="preserve"> -</v>
      </c>
      <c r="H7" s="6" t="s">
        <v>59</v>
      </c>
      <c r="I7" s="33"/>
      <c r="J7" s="34"/>
      <c r="K7" s="36"/>
      <c r="L7" s="33"/>
      <c r="M7" s="33"/>
      <c r="N7" s="33"/>
      <c r="P7" s="14" t="s">
        <v>62</v>
      </c>
      <c r="Q7" s="20">
        <f>SUMIF(P12:P23, "Service", R12:R23)</f>
        <v>186000000</v>
      </c>
      <c r="R7" s="33"/>
    </row>
    <row r="8" spans="1:18" ht="16" customHeight="1">
      <c r="A8" s="14" t="s">
        <v>1</v>
      </c>
      <c r="B8" s="185">
        <v>0.15</v>
      </c>
      <c r="C8" s="33"/>
      <c r="D8" s="294" t="s">
        <v>55</v>
      </c>
      <c r="E8" s="295"/>
      <c r="F8" s="183" t="str">
        <f>IF(AND(AND(AND(TCV_USD&gt;=250000, TCV_USD&lt;500000), (HPETCV_USD+THSTCV_USD)&gt;=250000), FLGM&lt;FLGM_STD), "O", " -")</f>
        <v xml:space="preserve"> -</v>
      </c>
      <c r="H8" s="32" t="s">
        <v>421</v>
      </c>
      <c r="I8" s="33"/>
      <c r="J8" s="34"/>
      <c r="K8" s="33"/>
      <c r="L8" s="48" t="s">
        <v>171</v>
      </c>
      <c r="M8" s="49">
        <f>IF(UTIL_STD = "Total hours", SUM(J12:J15), SUM(M19:M23))</f>
        <v>144</v>
      </c>
      <c r="N8" s="33"/>
      <c r="P8" s="14" t="s">
        <v>63</v>
      </c>
      <c r="Q8" s="20">
        <f>SUMIF(P12:P23, "Product", R12:R23)</f>
        <v>100000000</v>
      </c>
      <c r="R8" s="33"/>
    </row>
    <row r="9" spans="1:18" ht="16" customHeight="1">
      <c r="A9" s="19"/>
      <c r="B9" s="19"/>
      <c r="C9" s="33"/>
      <c r="D9" s="294" t="s">
        <v>56</v>
      </c>
      <c r="E9" s="295"/>
      <c r="F9" s="7" t="str">
        <f>IF(TCV_USD&gt;=500000, "O", " -")</f>
        <v xml:space="preserve"> -</v>
      </c>
      <c r="H9" s="36"/>
      <c r="I9" s="33"/>
      <c r="J9" s="34"/>
      <c r="K9" s="33"/>
      <c r="L9" s="33"/>
      <c r="M9" s="33"/>
      <c r="N9" s="33"/>
      <c r="P9" s="182" t="s">
        <v>426</v>
      </c>
      <c r="Q9" s="24">
        <f>F21/EXCHG_RATE</f>
        <v>218024.53531598512</v>
      </c>
      <c r="R9" s="33"/>
    </row>
    <row r="10" spans="1:18" ht="16" customHeight="1">
      <c r="A10" s="14" t="s">
        <v>13</v>
      </c>
      <c r="B10" s="19">
        <f>FLGM+0.184</f>
        <v>0.33399999999999996</v>
      </c>
      <c r="C10" s="33"/>
      <c r="D10" s="33"/>
      <c r="E10" s="33"/>
      <c r="F10" s="34"/>
      <c r="H10" s="5" t="s">
        <v>22</v>
      </c>
      <c r="J10" s="1"/>
      <c r="P10" s="2" t="s">
        <v>60</v>
      </c>
    </row>
    <row r="11" spans="1:18" ht="16" customHeight="1">
      <c r="A11" s="14" t="s">
        <v>28</v>
      </c>
      <c r="B11" s="305">
        <f>FLGM+0.1</f>
        <v>0.25</v>
      </c>
      <c r="C11" s="33"/>
      <c r="D11" s="184" t="s">
        <v>423</v>
      </c>
      <c r="E11" s="62"/>
      <c r="F11" s="34"/>
      <c r="H11" s="16" t="str">
        <f>IF(UTIL_STD="Total hours", "Name or Role", "-")</f>
        <v>-</v>
      </c>
      <c r="I11" s="16" t="str">
        <f>IF(UTIL_STD="Total hours", "직급", "-")</f>
        <v>-</v>
      </c>
      <c r="J11" s="16" t="str">
        <f>IF(UTIL_STD="Total hours", "실입력시간", "-")</f>
        <v>-</v>
      </c>
      <c r="K11" s="16"/>
      <c r="L11" s="16"/>
      <c r="M11" s="16"/>
      <c r="N11" s="16" t="str">
        <f>IF(UTIL_STD="Total hours", "Costs", "-")</f>
        <v>-</v>
      </c>
      <c r="P11" s="14" t="s">
        <v>10</v>
      </c>
      <c r="Q11" s="14" t="s">
        <v>11</v>
      </c>
      <c r="R11" s="14" t="s">
        <v>26</v>
      </c>
    </row>
    <row r="12" spans="1:18" ht="16" customHeight="1">
      <c r="A12" s="14" t="s">
        <v>2</v>
      </c>
      <c r="B12" s="27">
        <v>0.05</v>
      </c>
      <c r="C12" s="33"/>
      <c r="D12" s="184">
        <v>685745700</v>
      </c>
      <c r="E12" s="34">
        <f>D12-B3</f>
        <v>210988700</v>
      </c>
      <c r="F12" s="34"/>
      <c r="H12" s="28"/>
      <c r="I12" s="29"/>
      <c r="J12" s="65"/>
      <c r="K12" s="17"/>
      <c r="L12" s="17"/>
      <c r="M12" s="17"/>
      <c r="N12" s="18">
        <f>Resouces!T11</f>
        <v>0</v>
      </c>
      <c r="P12" s="32" t="s">
        <v>403</v>
      </c>
      <c r="Q12" s="30" t="s">
        <v>427</v>
      </c>
      <c r="R12" s="28">
        <v>186000000</v>
      </c>
    </row>
    <row r="13" spans="1:18" ht="16" customHeight="1">
      <c r="A13" s="33"/>
      <c r="B13" s="33"/>
      <c r="C13" s="33"/>
      <c r="D13" s="34"/>
      <c r="E13" s="62"/>
      <c r="F13" s="34"/>
      <c r="H13" s="28"/>
      <c r="I13" s="29"/>
      <c r="J13" s="30"/>
      <c r="K13" s="17"/>
      <c r="L13" s="17"/>
      <c r="M13" s="17"/>
      <c r="N13" s="18" t="str">
        <f>IF(UTIL_STD="Total Hours", IFERROR(VLOOKUP(I13, UTIL_TABLE, 2, FALSE)*J13, "-"), "-")</f>
        <v>-</v>
      </c>
      <c r="P13" s="32" t="s">
        <v>422</v>
      </c>
      <c r="Q13" s="30" t="s">
        <v>428</v>
      </c>
      <c r="R13" s="181">
        <v>100000000</v>
      </c>
    </row>
    <row r="14" spans="1:18" ht="16" customHeight="1">
      <c r="A14" s="44" t="s">
        <v>161</v>
      </c>
      <c r="B14" s="45">
        <f>IFERROR(SUM(F21:F22)/F24, "-")</f>
        <v>0.91255737145529181</v>
      </c>
      <c r="C14" s="33"/>
      <c r="D14" s="61"/>
      <c r="E14" s="33"/>
      <c r="F14" s="34"/>
      <c r="H14" s="28"/>
      <c r="I14" s="29"/>
      <c r="J14" s="30"/>
      <c r="K14" s="17"/>
      <c r="L14" s="17"/>
      <c r="M14" s="17"/>
      <c r="N14" s="18" t="str">
        <f>IF(UTIL_STD="Total Hours", IFERROR(VLOOKUP(I14, UTIL_TABLE, 2, FALSE)*J14, "-"), "-")</f>
        <v>-</v>
      </c>
      <c r="P14" s="32"/>
      <c r="Q14" s="30"/>
      <c r="R14" s="28"/>
    </row>
    <row r="15" spans="1:18" ht="16" customHeight="1">
      <c r="A15" s="44" t="s">
        <v>162</v>
      </c>
      <c r="B15" s="45">
        <f>IFERROR(F22/F24, "-")</f>
        <v>0.29488770044464852</v>
      </c>
      <c r="C15" s="33"/>
      <c r="D15" s="58"/>
      <c r="E15" s="61"/>
      <c r="F15" s="34"/>
      <c r="H15" s="28"/>
      <c r="I15" s="29"/>
      <c r="J15" s="30"/>
      <c r="K15" s="17"/>
      <c r="L15" s="17"/>
      <c r="M15" s="17"/>
      <c r="N15" s="18" t="str">
        <f>IF(UTIL_STD="Total Hours", IFERROR(VLOOKUP(I15, UTIL_TABLE, 2, FALSE)*J15, "-"), "-")</f>
        <v>-</v>
      </c>
      <c r="P15" s="32"/>
      <c r="Q15" s="30"/>
      <c r="R15" s="28"/>
    </row>
    <row r="16" spans="1:18" ht="16" customHeight="1">
      <c r="A16" s="33"/>
      <c r="B16" s="33"/>
      <c r="C16" s="33"/>
      <c r="D16" s="57"/>
      <c r="E16" s="62"/>
      <c r="F16" s="34"/>
      <c r="H16" s="4"/>
      <c r="J16" s="1"/>
      <c r="P16" s="32"/>
      <c r="Q16" s="30"/>
      <c r="R16" s="28"/>
    </row>
    <row r="17" spans="1:18" ht="16" customHeight="1">
      <c r="A17" s="2" t="s">
        <v>30</v>
      </c>
      <c r="H17" s="5" t="s">
        <v>23</v>
      </c>
      <c r="J17" s="1"/>
      <c r="P17" s="32"/>
      <c r="Q17" s="30"/>
      <c r="R17" s="28"/>
    </row>
    <row r="18" spans="1:18" ht="16" customHeight="1">
      <c r="A18" s="301" t="s">
        <v>17</v>
      </c>
      <c r="B18" s="302" t="s">
        <v>31</v>
      </c>
      <c r="C18" s="301" t="s">
        <v>2</v>
      </c>
      <c r="D18" s="302" t="s">
        <v>32</v>
      </c>
      <c r="E18" s="301" t="s">
        <v>18</v>
      </c>
      <c r="F18" s="299" t="s">
        <v>6</v>
      </c>
      <c r="H18" s="16" t="str">
        <f>IF(UTIL_STD="Average %", "Name or Role", "-")</f>
        <v>Name or Role</v>
      </c>
      <c r="I18" s="16" t="str">
        <f>IF(UTIL_STD="Average %", "직급", "-")</f>
        <v>직급</v>
      </c>
      <c r="J18" s="16" t="str">
        <f>IF(UTIL_STD="Average %", "Average %", "-")</f>
        <v>Average %</v>
      </c>
      <c r="K18" s="16" t="str">
        <f>IF(UTIL_STD="Average %", "개월", "-")</f>
        <v>개월</v>
      </c>
      <c r="L18" s="16" t="str">
        <f>IF(UTIL_STD="Average %", "추천값", "-")</f>
        <v>추천값</v>
      </c>
      <c r="M18" s="16" t="str">
        <f>IF(UTIL_STD="Average %", "입력값", "-")</f>
        <v>입력값</v>
      </c>
      <c r="N18" s="16" t="str">
        <f>IF(UTIL_STD="Average %", "Costs", "-")</f>
        <v>Costs</v>
      </c>
      <c r="P18" s="32"/>
      <c r="Q18" s="30"/>
      <c r="R18" s="28"/>
    </row>
    <row r="19" spans="1:18" ht="16" customHeight="1">
      <c r="A19" s="301"/>
      <c r="B19" s="301"/>
      <c r="C19" s="301"/>
      <c r="D19" s="301"/>
      <c r="E19" s="301"/>
      <c r="F19" s="299"/>
      <c r="H19" s="30" t="s">
        <v>251</v>
      </c>
      <c r="I19" s="29" t="s">
        <v>15</v>
      </c>
      <c r="J19" s="27">
        <v>0.20399999999999999</v>
      </c>
      <c r="K19" s="30">
        <v>4</v>
      </c>
      <c r="L19" s="20">
        <f>ROUNDUP(176*K19*J19, 0)</f>
        <v>144</v>
      </c>
      <c r="M19" s="65">
        <f t="shared" ref="M19:M20" si="0">L19</f>
        <v>144</v>
      </c>
      <c r="N19" s="18">
        <f>IF(UTIL_STD="Average %", IFERROR(VLOOKUP(I19, UTIL_TABLE, 2, FALSE)*M19, "-"), "-")</f>
        <v>16332048</v>
      </c>
      <c r="P19" s="32"/>
      <c r="Q19" s="30"/>
      <c r="R19" s="28"/>
    </row>
    <row r="20" spans="1:18" ht="16" customHeight="1">
      <c r="A20" s="21" t="s">
        <v>19</v>
      </c>
      <c r="B20" s="11">
        <f>I3</f>
        <v>26332048</v>
      </c>
      <c r="C20" s="11">
        <f>B20*RISK_RATE</f>
        <v>1316602.4000000001</v>
      </c>
      <c r="D20" s="11">
        <f>SUM(B20:C20)</f>
        <v>27648650.399999999</v>
      </c>
      <c r="E20" s="11">
        <f>D20*SVC_EGM/(1-SVC_EGM)</f>
        <v>13865839.690090086</v>
      </c>
      <c r="F20" s="9">
        <f>ROUND(SUM(D20:E20), -3)</f>
        <v>41514000</v>
      </c>
      <c r="H20" s="30"/>
      <c r="I20" s="29"/>
      <c r="J20" s="31"/>
      <c r="K20" s="30"/>
      <c r="L20" s="20">
        <f>ROUNDUP(176*K20*J20, 0)</f>
        <v>0</v>
      </c>
      <c r="M20" s="65">
        <f t="shared" si="0"/>
        <v>0</v>
      </c>
      <c r="N20" s="18" t="str">
        <f>IF(UTIL_STD="Average %", IFERROR(VLOOKUP(I20, UTIL_TABLE, 2, FALSE)*M20, "-"), "-")</f>
        <v>-</v>
      </c>
      <c r="P20" s="32"/>
      <c r="Q20" s="30"/>
      <c r="R20" s="28"/>
    </row>
    <row r="21" spans="1:18" ht="16" customHeight="1">
      <c r="A21" s="21" t="s">
        <v>20</v>
      </c>
      <c r="B21" s="11">
        <f>Q7</f>
        <v>186000000</v>
      </c>
      <c r="C21" s="11">
        <f>B21*RISK_RATE</f>
        <v>9300000</v>
      </c>
      <c r="D21" s="11">
        <f>SUM(B21:C21)</f>
        <v>195300000</v>
      </c>
      <c r="E21" s="11">
        <f>D21*SVC_EGM/(1-SVC_EGM)</f>
        <v>97943243.243243232</v>
      </c>
      <c r="F21" s="9">
        <f>ROUND(SUM(D21:E21), -3)</f>
        <v>293243000</v>
      </c>
      <c r="H21" s="30"/>
      <c r="I21" s="29"/>
      <c r="J21" s="31"/>
      <c r="K21" s="30"/>
      <c r="L21" s="20">
        <f>ROUNDUP(176*K21*J21, 0)</f>
        <v>0</v>
      </c>
      <c r="M21" s="65">
        <f>L21</f>
        <v>0</v>
      </c>
      <c r="N21" s="18" t="str">
        <f>IF(UTIL_STD="Average %", IFERROR(VLOOKUP(I21, UTIL_TABLE, 2, FALSE)*M21, "-"), "-")</f>
        <v>-</v>
      </c>
      <c r="P21" s="32"/>
      <c r="Q21" s="30"/>
      <c r="R21" s="28"/>
    </row>
    <row r="22" spans="1:18" ht="16" customHeight="1">
      <c r="A22" s="21" t="s">
        <v>33</v>
      </c>
      <c r="B22" s="11">
        <f>Q8</f>
        <v>100000000</v>
      </c>
      <c r="C22" s="11">
        <f>B22*RISK_RATE</f>
        <v>5000000</v>
      </c>
      <c r="D22" s="11">
        <f>SUM(B22:C22)</f>
        <v>105000000</v>
      </c>
      <c r="E22" s="11">
        <f>D22*PDT_EGM/(1-PDT_EGM)</f>
        <v>35000000</v>
      </c>
      <c r="F22" s="9">
        <f>ROUND(SUM(D22:E22), -3)</f>
        <v>140000000</v>
      </c>
      <c r="H22" s="30"/>
      <c r="I22" s="29"/>
      <c r="J22" s="31"/>
      <c r="K22" s="30"/>
      <c r="L22" s="20">
        <f>176*K22*J22</f>
        <v>0</v>
      </c>
      <c r="M22" s="65">
        <f>L22</f>
        <v>0</v>
      </c>
      <c r="N22" s="18" t="str">
        <f>IF(UTIL_STD="Average %", IFERROR(VLOOKUP(I22, UTIL_TABLE, 2, FALSE)*M22, "-"), "-")</f>
        <v>-</v>
      </c>
      <c r="P22" s="32"/>
      <c r="Q22" s="30"/>
      <c r="R22" s="28"/>
    </row>
    <row r="23" spans="1:18" ht="16" customHeight="1">
      <c r="A23" s="22" t="s">
        <v>65</v>
      </c>
      <c r="B23" s="11"/>
      <c r="C23" s="11"/>
      <c r="D23" s="11"/>
      <c r="E23" s="11"/>
      <c r="F23" s="9"/>
      <c r="H23" s="30"/>
      <c r="I23" s="29"/>
      <c r="J23" s="31"/>
      <c r="K23" s="30"/>
      <c r="L23" s="20">
        <f>176*K23*J23</f>
        <v>0</v>
      </c>
      <c r="M23" s="65">
        <f>L23</f>
        <v>0</v>
      </c>
      <c r="N23" s="18" t="str">
        <f>IF(UTIL_STD="Average %", IFERROR(VLOOKUP(I23, UTIL_TABLE, 2, FALSE)*M23, "-"), "-")</f>
        <v>-</v>
      </c>
      <c r="P23" s="32"/>
      <c r="Q23" s="30"/>
      <c r="R23" s="28"/>
    </row>
    <row r="24" spans="1:18" ht="16" customHeight="1">
      <c r="A24" s="21" t="s">
        <v>64</v>
      </c>
      <c r="B24" s="11">
        <f>SUM(B20:B22)</f>
        <v>312332048</v>
      </c>
      <c r="C24" s="11">
        <f>SUM(C20:C22)</f>
        <v>15616602.4</v>
      </c>
      <c r="D24" s="11">
        <f>SUM(D20:D22)</f>
        <v>327948650.39999998</v>
      </c>
      <c r="E24" s="11">
        <f>SUM(E20:E22)</f>
        <v>146809082.93333334</v>
      </c>
      <c r="F24" s="9">
        <f>SUM(F20:F22)</f>
        <v>474757000</v>
      </c>
      <c r="P24" s="33"/>
      <c r="Q24" s="33"/>
      <c r="R24" s="33"/>
    </row>
    <row r="25" spans="1:18" ht="16" customHeight="1">
      <c r="A25" s="21" t="s">
        <v>163</v>
      </c>
      <c r="B25" s="43">
        <f>B24/B6</f>
        <v>232217.13605947956</v>
      </c>
      <c r="C25" s="43">
        <f>C24/B6</f>
        <v>11610.856802973978</v>
      </c>
      <c r="D25" s="43">
        <f>D24/B6</f>
        <v>243827.99286245351</v>
      </c>
      <c r="E25" s="43">
        <f>E24/B6</f>
        <v>109151.73452292441</v>
      </c>
      <c r="F25" s="23">
        <f>F24/B6</f>
        <v>352979.18215613381</v>
      </c>
      <c r="H25" s="294" t="s">
        <v>16</v>
      </c>
      <c r="I25" s="300"/>
      <c r="J25" s="300"/>
      <c r="K25" s="300"/>
      <c r="L25" s="300"/>
      <c r="M25" s="295"/>
      <c r="N25" s="26">
        <v>10000000</v>
      </c>
      <c r="P25" s="33"/>
      <c r="Q25" s="33"/>
      <c r="R25" s="34"/>
    </row>
    <row r="26" spans="1:18" ht="16" customHeight="1">
      <c r="A26" s="33"/>
      <c r="B26" s="33"/>
      <c r="C26" s="33"/>
      <c r="D26" s="33"/>
      <c r="E26" s="33"/>
      <c r="F26" s="34"/>
      <c r="G26" s="33"/>
      <c r="H26" s="33"/>
      <c r="I26" s="33"/>
      <c r="J26" s="34"/>
      <c r="K26" s="33"/>
      <c r="L26" s="33"/>
      <c r="M26" s="33"/>
      <c r="N26" s="33"/>
      <c r="P26" s="33"/>
      <c r="Q26" s="33"/>
      <c r="R26" s="34"/>
    </row>
    <row r="27" spans="1:18" ht="16" customHeight="1">
      <c r="A27" s="33"/>
      <c r="B27" s="33"/>
      <c r="C27" s="33"/>
      <c r="D27" s="33"/>
      <c r="E27" s="33"/>
      <c r="F27" s="34"/>
      <c r="G27" s="33"/>
      <c r="H27" s="34"/>
      <c r="J27" s="33"/>
      <c r="K27" s="34"/>
      <c r="L27" s="34"/>
      <c r="M27" s="33"/>
      <c r="N27" s="33"/>
      <c r="P27" s="33"/>
      <c r="Q27" s="36"/>
      <c r="R27" s="34"/>
    </row>
    <row r="28" spans="1:18" ht="16" customHeight="1">
      <c r="A28" s="33"/>
      <c r="B28" s="33"/>
      <c r="C28" s="33"/>
      <c r="D28" s="33"/>
      <c r="E28" s="33"/>
      <c r="F28" s="34"/>
      <c r="G28" s="33"/>
      <c r="H28" s="33"/>
      <c r="J28" s="33"/>
      <c r="K28" s="64"/>
      <c r="L28" s="34"/>
      <c r="M28" s="33"/>
      <c r="N28" s="33"/>
      <c r="P28" s="33"/>
      <c r="Q28" s="33"/>
      <c r="R28" s="34"/>
    </row>
    <row r="29" spans="1:18" ht="16" customHeight="1">
      <c r="A29" s="33"/>
      <c r="B29" s="33"/>
      <c r="C29" s="33"/>
      <c r="D29" s="33"/>
      <c r="E29" s="33"/>
      <c r="F29" s="34"/>
      <c r="G29" s="33"/>
      <c r="H29" s="33"/>
      <c r="J29" s="33"/>
      <c r="K29" s="64"/>
      <c r="L29" s="34"/>
      <c r="M29" s="33"/>
      <c r="N29" s="33"/>
      <c r="P29" s="33"/>
      <c r="Q29" s="33"/>
      <c r="R29" s="34"/>
    </row>
    <row r="30" spans="1:18" ht="16" customHeight="1">
      <c r="A30" s="33"/>
      <c r="B30" s="33"/>
      <c r="C30" s="33" t="s">
        <v>410</v>
      </c>
      <c r="D30" s="33"/>
      <c r="E30" s="33"/>
      <c r="F30" s="34"/>
      <c r="G30" s="33"/>
      <c r="H30" s="33"/>
      <c r="J30" s="33"/>
      <c r="K30" s="64"/>
      <c r="L30" s="34"/>
      <c r="M30" s="33"/>
      <c r="N30" s="33"/>
      <c r="P30" s="33"/>
      <c r="Q30" s="33"/>
      <c r="R30" s="34"/>
    </row>
    <row r="31" spans="1:18" ht="16" customHeight="1">
      <c r="A31" s="33"/>
      <c r="B31" s="33"/>
      <c r="C31" s="33"/>
      <c r="D31" s="33"/>
      <c r="E31" s="33"/>
      <c r="F31" s="34"/>
      <c r="J31" s="33"/>
      <c r="K31" s="64"/>
      <c r="L31" s="34"/>
    </row>
    <row r="32" spans="1:18" ht="16" customHeight="1">
      <c r="J32" s="33"/>
      <c r="K32" s="64"/>
      <c r="L32" s="34"/>
    </row>
    <row r="33" spans="8:12" ht="16" customHeight="1">
      <c r="H33" s="2"/>
      <c r="J33" s="33"/>
      <c r="L33" s="34"/>
    </row>
    <row r="34" spans="8:12" ht="16" customHeight="1">
      <c r="J34" s="33"/>
      <c r="K34" s="59"/>
      <c r="L34" s="34"/>
    </row>
    <row r="35" spans="8:12" ht="16" customHeight="1">
      <c r="H35" s="4"/>
      <c r="J35" s="33"/>
      <c r="K35" s="64"/>
      <c r="L35" s="34"/>
    </row>
    <row r="36" spans="8:12" ht="16" customHeight="1">
      <c r="J36" s="33"/>
      <c r="K36" s="64"/>
      <c r="L36" s="34"/>
    </row>
    <row r="37" spans="8:12" ht="16" customHeight="1">
      <c r="J37" s="33"/>
      <c r="K37" s="64"/>
      <c r="L37" s="34"/>
    </row>
    <row r="38" spans="8:12" ht="16" customHeight="1">
      <c r="J38" s="33"/>
      <c r="K38" s="64"/>
      <c r="L38" s="34"/>
    </row>
    <row r="39" spans="8:12" ht="16" customHeight="1">
      <c r="J39" s="33"/>
      <c r="K39" s="64"/>
      <c r="L39" s="34"/>
    </row>
    <row r="40" spans="8:12" ht="16" customHeight="1">
      <c r="J40" s="33"/>
      <c r="K40" s="64"/>
      <c r="L40" s="34"/>
    </row>
    <row r="41" spans="8:12" ht="16" customHeight="1">
      <c r="J41" s="33"/>
      <c r="L41" s="34"/>
    </row>
    <row r="42" spans="8:12" ht="16" customHeight="1">
      <c r="L42" s="60"/>
    </row>
  </sheetData>
  <dataConsolidate/>
  <mergeCells count="18">
    <mergeCell ref="F18:F19"/>
    <mergeCell ref="H25:M25"/>
    <mergeCell ref="A18:A19"/>
    <mergeCell ref="B18:B19"/>
    <mergeCell ref="C18:C19"/>
    <mergeCell ref="D18:D19"/>
    <mergeCell ref="E18:E19"/>
    <mergeCell ref="D7:E7"/>
    <mergeCell ref="D8:E8"/>
    <mergeCell ref="D9:E9"/>
    <mergeCell ref="D4:E4"/>
    <mergeCell ref="I3:J3"/>
    <mergeCell ref="I4:J4"/>
    <mergeCell ref="I5:J5"/>
    <mergeCell ref="D3:E3"/>
    <mergeCell ref="D5:E5"/>
    <mergeCell ref="D6:E6"/>
    <mergeCell ref="I6:J6"/>
  </mergeCells>
  <phoneticPr fontId="8" type="noConversion"/>
  <dataValidations disablePrompts="1" count="3">
    <dataValidation type="list" allowBlank="1" showInputMessage="1" showErrorMessage="1" sqref="H8">
      <formula1>"-,Average %, Total hours"</formula1>
    </dataValidation>
    <dataValidation type="list" allowBlank="1" showInputMessage="1" showErrorMessage="1" sqref="I12:I15 I19:I23">
      <formula1>"과장,차장,부장,이사"</formula1>
    </dataValidation>
    <dataValidation type="list" allowBlank="1" showInputMessage="1" showErrorMessage="1" sqref="P12:P23">
      <formula1>"Service,Product"</formula1>
    </dataValidation>
  </dataValidations>
  <pageMargins left="0.7" right="0.7" top="0.75" bottom="0.75" header="0.3" footer="0.3"/>
  <pageSetup paperSize="9" orientation="portrait" r:id="rId1"/>
  <ignoredErrors>
    <ignoredError sqref="E21 Q8" formula="1"/>
    <ignoredError sqref="M8 M22:M23 M19:M21 E12 B14:B1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84" r:id="rId4" name="Button 36">
              <controlPr defaultSize="0" print="0" autoFill="0" autoPict="0" macro="[0]!write_E3T_DeliveryInput">
                <anchor moveWithCells="1" sizeWithCells="1">
                  <from>
                    <xdr:col>0</xdr:col>
                    <xdr:colOff>44450</xdr:colOff>
                    <xdr:row>25</xdr:row>
                    <xdr:rowOff>63500</xdr:rowOff>
                  </from>
                  <to>
                    <xdr:col>1</xdr:col>
                    <xdr:colOff>488950</xdr:colOff>
                    <xdr:row>26</xdr:row>
                    <xdr:rowOff>88900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T17"/>
  <sheetViews>
    <sheetView zoomScale="85" zoomScaleNormal="85" workbookViewId="0">
      <selection activeCell="E21" sqref="E21"/>
    </sheetView>
  </sheetViews>
  <sheetFormatPr defaultRowHeight="16" customHeight="1"/>
  <cols>
    <col min="1" max="1" width="12" style="1" customWidth="1"/>
    <col min="2" max="2" width="4.54296875" style="1" customWidth="1"/>
    <col min="3" max="3" width="9.90625" style="1" customWidth="1"/>
    <col min="4" max="14" width="5.6328125" style="1" customWidth="1"/>
    <col min="15" max="16" width="5.7265625" style="1" customWidth="1"/>
    <col min="17" max="17" width="7.54296875" style="1" customWidth="1"/>
    <col min="18" max="18" width="12.81640625" style="1" customWidth="1"/>
    <col min="19" max="19" width="13.1796875" style="1" customWidth="1"/>
    <col min="20" max="20" width="17.54296875" style="1" customWidth="1"/>
    <col min="21" max="16384" width="8.7265625" style="1"/>
  </cols>
  <sheetData>
    <row r="1" spans="1:20" ht="16" customHeight="1">
      <c r="A1" s="2" t="s">
        <v>44</v>
      </c>
      <c r="B1" s="10"/>
      <c r="C1" s="10"/>
    </row>
    <row r="2" spans="1:20" ht="16" customHeight="1">
      <c r="A2" s="6" t="s">
        <v>21</v>
      </c>
      <c r="B2" s="8"/>
      <c r="C2" s="167"/>
    </row>
    <row r="3" spans="1:20" ht="16" customHeight="1">
      <c r="A3" s="21" t="s">
        <v>7</v>
      </c>
      <c r="B3" s="21" t="s">
        <v>8</v>
      </c>
      <c r="C3" s="169" t="s">
        <v>9</v>
      </c>
    </row>
    <row r="4" spans="1:20" ht="16" customHeight="1">
      <c r="A4" s="6" t="s">
        <v>34</v>
      </c>
      <c r="B4" s="6" t="s">
        <v>12</v>
      </c>
      <c r="C4" s="15">
        <v>71104</v>
      </c>
    </row>
    <row r="5" spans="1:20" ht="16" customHeight="1">
      <c r="A5" s="6" t="s">
        <v>35</v>
      </c>
      <c r="B5" s="6" t="s">
        <v>14</v>
      </c>
      <c r="C5" s="15">
        <v>97455</v>
      </c>
      <c r="R5" s="4"/>
    </row>
    <row r="6" spans="1:20" ht="16" customHeight="1">
      <c r="A6" s="6" t="s">
        <v>36</v>
      </c>
      <c r="B6" s="6" t="s">
        <v>15</v>
      </c>
      <c r="C6" s="15">
        <v>113417</v>
      </c>
    </row>
    <row r="7" spans="1:20" ht="16" customHeight="1">
      <c r="A7" s="6" t="s">
        <v>37</v>
      </c>
      <c r="B7" s="6" t="s">
        <v>61</v>
      </c>
      <c r="C7" s="15">
        <v>141213</v>
      </c>
    </row>
    <row r="8" spans="1:20" ht="16" customHeight="1">
      <c r="A8" s="303" t="s">
        <v>411</v>
      </c>
      <c r="B8" s="304"/>
      <c r="C8" s="172">
        <v>1.034</v>
      </c>
      <c r="G8" s="2" t="s">
        <v>413</v>
      </c>
    </row>
    <row r="10" spans="1:20" ht="16" customHeight="1">
      <c r="A10" s="168" t="s">
        <v>333</v>
      </c>
      <c r="B10" s="168" t="s">
        <v>404</v>
      </c>
      <c r="C10" s="168">
        <f>MONTH(DI.StartDate)</f>
        <v>11</v>
      </c>
      <c r="D10" s="168">
        <f>MONTH(EDATE(DI.StartDate, 1))</f>
        <v>12</v>
      </c>
      <c r="E10" s="168">
        <f>MONTH(EDATE(DI.StartDate, 2))</f>
        <v>1</v>
      </c>
      <c r="F10" s="168">
        <f>MONTH(EDATE(DI.StartDate, 3))</f>
        <v>2</v>
      </c>
      <c r="G10" s="168">
        <f>MONTH(EDATE(DI.StartDate, 4))</f>
        <v>3</v>
      </c>
      <c r="H10" s="168">
        <f>MONTH(EDATE(DI.StartDate, 5))</f>
        <v>4</v>
      </c>
      <c r="I10" s="168">
        <f>MONTH(EDATE(DI.StartDate, 6))</f>
        <v>5</v>
      </c>
      <c r="J10" s="168">
        <f>MONTH(EDATE(DI.StartDate, 7))</f>
        <v>6</v>
      </c>
      <c r="K10" s="168">
        <f>MONTH(EDATE(DI.StartDate, 8))</f>
        <v>7</v>
      </c>
      <c r="L10" s="168">
        <f>MONTH(EDATE(DI.StartDate, 9))</f>
        <v>8</v>
      </c>
      <c r="M10" s="168">
        <f>MONTH(EDATE(DI.StartDate, 10))</f>
        <v>9</v>
      </c>
      <c r="N10" s="168">
        <f>MONTH(EDATE(DI.StartDate, 11))</f>
        <v>10</v>
      </c>
      <c r="O10" s="168" t="s">
        <v>406</v>
      </c>
      <c r="P10" s="168" t="s">
        <v>407</v>
      </c>
      <c r="Q10" s="168" t="s">
        <v>412</v>
      </c>
      <c r="R10" s="168" t="s">
        <v>408</v>
      </c>
      <c r="S10" s="168" t="s">
        <v>409</v>
      </c>
      <c r="T10" s="168" t="s">
        <v>405</v>
      </c>
    </row>
    <row r="11" spans="1:20" ht="16" customHeight="1">
      <c r="A11" s="6" t="s">
        <v>414</v>
      </c>
      <c r="B11" s="8" t="s">
        <v>14</v>
      </c>
      <c r="C11" s="8"/>
      <c r="D11" s="8"/>
      <c r="E11" s="8"/>
      <c r="F11" s="8"/>
      <c r="G11" s="8"/>
      <c r="H11" s="8"/>
      <c r="I11" s="8"/>
      <c r="J11" s="8"/>
      <c r="K11" s="8"/>
      <c r="L11" s="8"/>
      <c r="M11" s="8"/>
      <c r="N11" s="8"/>
      <c r="O11" s="170">
        <v>0</v>
      </c>
      <c r="P11" s="170">
        <f>SUM(C11:D11)</f>
        <v>0</v>
      </c>
      <c r="Q11" s="171">
        <f>SUM(O11:P11)</f>
        <v>0</v>
      </c>
      <c r="R11" s="171">
        <f>IFERROR(VLOOKUP($B11, UTIL_TABLE, 2, FALSE)*$O11, "-")</f>
        <v>0</v>
      </c>
      <c r="S11" s="171">
        <f t="shared" ref="S11:S16" si="0">IFERROR(VLOOKUP($B11, UTIL_TABLE, 2, FALSE)*$P11*$C$8, "-")</f>
        <v>0</v>
      </c>
      <c r="T11" s="170">
        <f t="shared" ref="T11:T16" si="1">SUM(R11:S11)</f>
        <v>0</v>
      </c>
    </row>
    <row r="12" spans="1:20" ht="16" customHeight="1">
      <c r="A12" s="8"/>
      <c r="B12" s="8"/>
      <c r="C12" s="8"/>
      <c r="D12" s="8"/>
      <c r="E12" s="8"/>
      <c r="F12" s="8"/>
      <c r="G12" s="8"/>
      <c r="H12" s="8"/>
      <c r="I12" s="8"/>
      <c r="J12" s="8"/>
      <c r="K12" s="8"/>
      <c r="L12" s="8"/>
      <c r="M12" s="8"/>
      <c r="N12" s="8"/>
      <c r="O12" s="170">
        <f>SUM(C12:N12)</f>
        <v>0</v>
      </c>
      <c r="P12" s="170">
        <f t="shared" ref="P12:P16" si="2">SUM(G12:H12)</f>
        <v>0</v>
      </c>
      <c r="Q12" s="171"/>
      <c r="R12" s="171" t="str">
        <f>IFERROR(VLOOKUP(B12, UTIL_TABLE, 2, FALSE)*O12, "-")</f>
        <v>-</v>
      </c>
      <c r="S12" s="171" t="str">
        <f t="shared" si="0"/>
        <v>-</v>
      </c>
      <c r="T12" s="170">
        <f t="shared" si="1"/>
        <v>0</v>
      </c>
    </row>
    <row r="13" spans="1:20" ht="16" customHeight="1">
      <c r="A13" s="8"/>
      <c r="B13" s="8"/>
      <c r="C13" s="8"/>
      <c r="D13" s="8"/>
      <c r="E13" s="8"/>
      <c r="F13" s="8"/>
      <c r="G13" s="8"/>
      <c r="H13" s="8"/>
      <c r="I13" s="8"/>
      <c r="J13" s="8"/>
      <c r="K13" s="8"/>
      <c r="L13" s="8"/>
      <c r="M13" s="8"/>
      <c r="N13" s="8"/>
      <c r="O13" s="170">
        <f>SUM(C13:N13)</f>
        <v>0</v>
      </c>
      <c r="P13" s="170">
        <f t="shared" si="2"/>
        <v>0</v>
      </c>
      <c r="Q13" s="171"/>
      <c r="R13" s="171" t="str">
        <f>IFERROR(VLOOKUP(B13, UTIL_TABLE, 2, FALSE)*O13, "-")</f>
        <v>-</v>
      </c>
      <c r="S13" s="171" t="str">
        <f t="shared" si="0"/>
        <v>-</v>
      </c>
      <c r="T13" s="170">
        <f t="shared" si="1"/>
        <v>0</v>
      </c>
    </row>
    <row r="14" spans="1:20" ht="16" customHeight="1">
      <c r="A14" s="8"/>
      <c r="B14" s="8"/>
      <c r="C14" s="8"/>
      <c r="D14" s="8"/>
      <c r="E14" s="8"/>
      <c r="F14" s="8"/>
      <c r="G14" s="8"/>
      <c r="H14" s="8"/>
      <c r="I14" s="8"/>
      <c r="J14" s="8"/>
      <c r="K14" s="8"/>
      <c r="L14" s="8"/>
      <c r="M14" s="8"/>
      <c r="N14" s="8"/>
      <c r="O14" s="170">
        <f>SUM(C14:N14)</f>
        <v>0</v>
      </c>
      <c r="P14" s="170">
        <f t="shared" si="2"/>
        <v>0</v>
      </c>
      <c r="Q14" s="171"/>
      <c r="R14" s="171" t="str">
        <f>IFERROR(VLOOKUP(B14, UTIL_TABLE, 2, FALSE)*O14, "-")</f>
        <v>-</v>
      </c>
      <c r="S14" s="171" t="str">
        <f t="shared" si="0"/>
        <v>-</v>
      </c>
      <c r="T14" s="170">
        <f t="shared" si="1"/>
        <v>0</v>
      </c>
    </row>
    <row r="15" spans="1:20" ht="16" customHeight="1">
      <c r="A15" s="8"/>
      <c r="B15" s="8"/>
      <c r="C15" s="8"/>
      <c r="D15" s="8"/>
      <c r="E15" s="8"/>
      <c r="F15" s="8"/>
      <c r="G15" s="8"/>
      <c r="H15" s="8"/>
      <c r="I15" s="8"/>
      <c r="J15" s="8"/>
      <c r="K15" s="8"/>
      <c r="L15" s="8"/>
      <c r="M15" s="8"/>
      <c r="N15" s="8"/>
      <c r="O15" s="170">
        <f>SUM(C15:N15)</f>
        <v>0</v>
      </c>
      <c r="P15" s="170">
        <f t="shared" si="2"/>
        <v>0</v>
      </c>
      <c r="Q15" s="171"/>
      <c r="R15" s="171" t="str">
        <f>IFERROR(VLOOKUP(B15, UTIL_TABLE, 2, FALSE)*O15, "-")</f>
        <v>-</v>
      </c>
      <c r="S15" s="171" t="str">
        <f t="shared" si="0"/>
        <v>-</v>
      </c>
      <c r="T15" s="170">
        <f t="shared" si="1"/>
        <v>0</v>
      </c>
    </row>
    <row r="16" spans="1:20" ht="16" customHeight="1">
      <c r="A16" s="8"/>
      <c r="B16" s="8"/>
      <c r="C16" s="8"/>
      <c r="D16" s="8"/>
      <c r="E16" s="8"/>
      <c r="F16" s="8"/>
      <c r="G16" s="8"/>
      <c r="H16" s="8"/>
      <c r="I16" s="8"/>
      <c r="J16" s="8"/>
      <c r="K16" s="8"/>
      <c r="L16" s="8"/>
      <c r="M16" s="8"/>
      <c r="N16" s="8"/>
      <c r="O16" s="170">
        <f>SUM(C16:N16)</f>
        <v>0</v>
      </c>
      <c r="P16" s="170">
        <f t="shared" si="2"/>
        <v>0</v>
      </c>
      <c r="Q16" s="174"/>
      <c r="R16" s="171" t="s">
        <v>410</v>
      </c>
      <c r="S16" s="171" t="str">
        <f t="shared" si="0"/>
        <v>-</v>
      </c>
      <c r="T16" s="173">
        <f t="shared" si="1"/>
        <v>0</v>
      </c>
    </row>
    <row r="17" spans="17:20" ht="16" customHeight="1">
      <c r="Q17" s="175">
        <f>SUM(Q11:Q16)</f>
        <v>0</v>
      </c>
      <c r="T17" s="175">
        <f>SUM(T11:T16)</f>
        <v>0</v>
      </c>
    </row>
  </sheetData>
  <mergeCells count="1">
    <mergeCell ref="A8:B8"/>
  </mergeCells>
  <phoneticPr fontId="8" type="noConversion"/>
  <dataValidations count="1">
    <dataValidation type="list" allowBlank="1" showInputMessage="1" showErrorMessage="1" sqref="B11:B16">
      <formula1>$B$4:$B$7</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31"/>
  <sheetViews>
    <sheetView zoomScale="85" zoomScaleNormal="85" workbookViewId="0"/>
  </sheetViews>
  <sheetFormatPr defaultRowHeight="16" customHeight="1"/>
  <cols>
    <col min="1" max="1" width="23.1796875" style="1" customWidth="1"/>
    <col min="2" max="2" width="24.81640625" style="1" customWidth="1"/>
    <col min="3" max="3" width="5" style="1" customWidth="1"/>
    <col min="4" max="4" width="14.36328125" style="1" customWidth="1"/>
    <col min="5" max="5" width="19.453125" style="1" customWidth="1"/>
    <col min="6" max="6" width="8.7265625" style="1"/>
    <col min="7" max="7" width="8.54296875" style="1" customWidth="1"/>
    <col min="8" max="16384" width="8.7265625" style="1"/>
  </cols>
  <sheetData>
    <row r="1" spans="1:5" ht="16" customHeight="1">
      <c r="A1" s="3" t="s">
        <v>196</v>
      </c>
    </row>
    <row r="3" spans="1:5" ht="16" customHeight="1">
      <c r="A3" s="50" t="s">
        <v>197</v>
      </c>
      <c r="B3" s="179">
        <f>DI.EXCHG_RATE</f>
        <v>1345</v>
      </c>
      <c r="D3" s="163" t="s">
        <v>397</v>
      </c>
      <c r="E3" s="164" t="str">
        <f>DI.EID</f>
        <v>KR3-K###</v>
      </c>
    </row>
    <row r="4" spans="1:5" ht="16" customHeight="1">
      <c r="A4" s="50" t="s">
        <v>199</v>
      </c>
      <c r="B4" s="52">
        <v>0.15034922448872881</v>
      </c>
      <c r="D4" s="163" t="s">
        <v>398</v>
      </c>
      <c r="E4" s="164" t="str">
        <f>DI.Customer</f>
        <v>Shinhan Bank</v>
      </c>
    </row>
    <row r="5" spans="1:5" ht="16" customHeight="1">
      <c r="A5" s="50" t="s">
        <v>200</v>
      </c>
      <c r="B5" s="52">
        <v>0.33404634186537163</v>
      </c>
      <c r="D5" s="163" t="s">
        <v>220</v>
      </c>
      <c r="E5" s="164" t="str">
        <f>DI.ProjectName</f>
        <v>Product DB Integration</v>
      </c>
    </row>
    <row r="6" spans="1:5" ht="16" customHeight="1">
      <c r="A6" s="50" t="s">
        <v>198</v>
      </c>
      <c r="B6" s="52">
        <v>0.03</v>
      </c>
      <c r="D6" s="163" t="s">
        <v>399</v>
      </c>
      <c r="E6" s="164" t="str">
        <f>DI.ProjectManager</f>
        <v>Jang, Yong Seon</v>
      </c>
    </row>
    <row r="7" spans="1:5" ht="16" customHeight="1">
      <c r="D7" s="163" t="s">
        <v>400</v>
      </c>
      <c r="E7" s="164" t="str">
        <f>DI.ClientPrincipal</f>
        <v>Lee, Jung Heui</v>
      </c>
    </row>
    <row r="8" spans="1:5" ht="16" customHeight="1">
      <c r="A8" s="50" t="s">
        <v>201</v>
      </c>
      <c r="B8" s="53">
        <v>592000000</v>
      </c>
    </row>
    <row r="9" spans="1:5" ht="16" customHeight="1">
      <c r="A9" s="50" t="s">
        <v>202</v>
      </c>
      <c r="B9" s="54">
        <v>440148.69888475834</v>
      </c>
    </row>
    <row r="10" spans="1:5" ht="16" customHeight="1">
      <c r="A10" s="50" t="s">
        <v>203</v>
      </c>
      <c r="B10" s="55">
        <v>440.14869888475835</v>
      </c>
    </row>
    <row r="11" spans="1:5" ht="16" customHeight="1">
      <c r="A11" s="50" t="s">
        <v>210</v>
      </c>
      <c r="B11" s="53">
        <v>11482851.4257</v>
      </c>
    </row>
    <row r="12" spans="1:5" ht="16" customHeight="1">
      <c r="A12" s="50" t="s">
        <v>211</v>
      </c>
      <c r="B12" s="54">
        <v>8537.4360042379176</v>
      </c>
    </row>
    <row r="13" spans="1:5" ht="16" customHeight="1">
      <c r="B13" s="51"/>
    </row>
    <row r="14" spans="1:5" ht="16" customHeight="1">
      <c r="A14" s="50" t="s">
        <v>212</v>
      </c>
      <c r="B14" s="53">
        <v>177497000</v>
      </c>
    </row>
    <row r="15" spans="1:5" ht="16" customHeight="1">
      <c r="A15" s="50" t="s">
        <v>204</v>
      </c>
      <c r="B15" s="54">
        <v>131968.02973977695</v>
      </c>
    </row>
    <row r="16" spans="1:5" ht="16" customHeight="1">
      <c r="A16" s="50" t="s">
        <v>213</v>
      </c>
      <c r="B16" s="53">
        <v>414503000</v>
      </c>
    </row>
    <row r="17" spans="1:2" ht="16" customHeight="1">
      <c r="A17" s="50" t="s">
        <v>205</v>
      </c>
      <c r="B17" s="54">
        <v>308180.66914498142</v>
      </c>
    </row>
    <row r="18" spans="1:2" ht="16" customHeight="1">
      <c r="A18" s="50" t="s">
        <v>214</v>
      </c>
      <c r="B18" s="53">
        <v>414503000</v>
      </c>
    </row>
    <row r="19" spans="1:2" ht="16" customHeight="1">
      <c r="A19" s="50" t="s">
        <v>215</v>
      </c>
      <c r="B19" s="54">
        <v>308180.66914498142</v>
      </c>
    </row>
    <row r="20" spans="1:2" ht="16" customHeight="1">
      <c r="A20" s="50" t="s">
        <v>216</v>
      </c>
      <c r="B20" s="53">
        <v>0</v>
      </c>
    </row>
    <row r="21" spans="1:2" ht="16" customHeight="1">
      <c r="A21" s="50" t="s">
        <v>217</v>
      </c>
      <c r="B21" s="54">
        <v>0</v>
      </c>
    </row>
    <row r="22" spans="1:2" ht="16" customHeight="1">
      <c r="B22" s="51"/>
    </row>
    <row r="23" spans="1:2" ht="16" customHeight="1">
      <c r="A23" s="50" t="s">
        <v>206</v>
      </c>
      <c r="B23" s="52">
        <v>0.29982601351351351</v>
      </c>
    </row>
    <row r="24" spans="1:2" ht="16" customHeight="1">
      <c r="A24" s="50" t="s">
        <v>207</v>
      </c>
      <c r="B24" s="52">
        <v>0.70017398648648643</v>
      </c>
    </row>
    <row r="25" spans="1:2" ht="16" customHeight="1">
      <c r="A25" s="50" t="s">
        <v>208</v>
      </c>
      <c r="B25" s="52">
        <v>0.70017398648648643</v>
      </c>
    </row>
    <row r="26" spans="1:2" ht="16" customHeight="1">
      <c r="A26" s="50" t="s">
        <v>209</v>
      </c>
      <c r="B26" s="52">
        <v>0</v>
      </c>
    </row>
    <row r="28" spans="1:2" ht="16" customHeight="1">
      <c r="A28" s="50" t="s">
        <v>218</v>
      </c>
      <c r="B28" s="53">
        <v>382761714.19</v>
      </c>
    </row>
    <row r="29" spans="1:2" ht="16" customHeight="1">
      <c r="A29" s="50" t="s">
        <v>219</v>
      </c>
      <c r="B29" s="54">
        <v>284581.20014126395</v>
      </c>
    </row>
    <row r="31" spans="1:2" ht="16" customHeight="1">
      <c r="A31" s="177" t="s">
        <v>415</v>
      </c>
      <c r="B31" s="52" t="s">
        <v>416</v>
      </c>
    </row>
  </sheetData>
  <phoneticPr fontId="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check_E3TResult">
                <anchor moveWithCells="1" sizeWithCells="1">
                  <from>
                    <xdr:col>1</xdr:col>
                    <xdr:colOff>38100</xdr:colOff>
                    <xdr:row>0</xdr:row>
                    <xdr:rowOff>57150</xdr:rowOff>
                  </from>
                  <to>
                    <xdr:col>1</xdr:col>
                    <xdr:colOff>1466850</xdr:colOff>
                    <xdr:row>1</xdr:row>
                    <xdr:rowOff>95250</xdr:rowOff>
                  </to>
                </anchor>
              </controlPr>
            </control>
          </mc:Choice>
        </mc:AlternateContent>
        <mc:AlternateContent xmlns:mc="http://schemas.openxmlformats.org/markup-compatibility/2006">
          <mc:Choice Requires="x14">
            <control shapeId="16388" r:id="rId5" name="Button 4">
              <controlPr defaultSize="0" print="0" autoFill="0" autoPict="0" macro="[0]!Module1.mail_for_PM_E3T_approval">
                <anchor moveWithCells="1" sizeWithCells="1">
                  <from>
                    <xdr:col>5</xdr:col>
                    <xdr:colOff>127000</xdr:colOff>
                    <xdr:row>1</xdr:row>
                    <xdr:rowOff>196850</xdr:rowOff>
                  </from>
                  <to>
                    <xdr:col>7</xdr:col>
                    <xdr:colOff>12700</xdr:colOff>
                    <xdr:row>3</xdr:row>
                    <xdr:rowOff>25400</xdr:rowOff>
                  </to>
                </anchor>
              </controlPr>
            </control>
          </mc:Choice>
        </mc:AlternateContent>
        <mc:AlternateContent xmlns:mc="http://schemas.openxmlformats.org/markup-compatibility/2006">
          <mc:Choice Requires="x14">
            <control shapeId="16389" r:id="rId6" name="Button 5">
              <controlPr defaultSize="0" print="0" autoFill="0" autoPict="0" macro="[0]!mail_for_E3T_approval">
                <anchor moveWithCells="1" sizeWithCells="1">
                  <from>
                    <xdr:col>5</xdr:col>
                    <xdr:colOff>127000</xdr:colOff>
                    <xdr:row>3</xdr:row>
                    <xdr:rowOff>76200</xdr:rowOff>
                  </from>
                  <to>
                    <xdr:col>7</xdr:col>
                    <xdr:colOff>12700</xdr:colOff>
                    <xdr:row>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
  <sheetViews>
    <sheetView workbookViewId="0"/>
  </sheetViews>
  <sheetFormatPr defaultRowHeight="11.5"/>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63"/>
  <sheetViews>
    <sheetView workbookViewId="0"/>
  </sheetViews>
  <sheetFormatPr defaultRowHeight="16" customHeight="1"/>
  <cols>
    <col min="1" max="1" width="16.6328125" style="10" bestFit="1" customWidth="1"/>
    <col min="2" max="2" width="6.6328125" style="10" customWidth="1"/>
    <col min="3" max="3" width="12.1796875" style="10" customWidth="1"/>
    <col min="4" max="4" width="8.7265625" style="10"/>
    <col min="5" max="5" width="15.7265625" style="10" customWidth="1"/>
    <col min="6" max="6" width="31.54296875" style="10" customWidth="1"/>
    <col min="7" max="7" width="29.6328125" style="10" bestFit="1" customWidth="1"/>
    <col min="8" max="8" width="8.7265625" style="10"/>
    <col min="9" max="9" width="8.26953125" style="10" customWidth="1"/>
    <col min="10" max="10" width="31.90625" style="10" customWidth="1"/>
    <col min="11" max="16384" width="8.7265625" style="10"/>
  </cols>
  <sheetData>
    <row r="1" spans="1:9" ht="16" customHeight="1">
      <c r="A1" s="3" t="s">
        <v>43</v>
      </c>
    </row>
    <row r="3" spans="1:9" ht="16" customHeight="1">
      <c r="A3" s="2" t="s">
        <v>44</v>
      </c>
      <c r="E3" s="2" t="s">
        <v>89</v>
      </c>
      <c r="I3" s="2" t="s">
        <v>152</v>
      </c>
    </row>
    <row r="4" spans="1:9" ht="16" customHeight="1">
      <c r="A4" s="6" t="s">
        <v>21</v>
      </c>
      <c r="B4" s="8"/>
      <c r="C4" s="7"/>
      <c r="E4" s="37" t="s">
        <v>80</v>
      </c>
      <c r="F4" s="37" t="s">
        <v>90</v>
      </c>
      <c r="G4" s="37" t="s">
        <v>134</v>
      </c>
      <c r="I4" s="10" t="s">
        <v>160</v>
      </c>
    </row>
    <row r="5" spans="1:9" ht="16" customHeight="1">
      <c r="A5" s="14" t="s">
        <v>7</v>
      </c>
      <c r="B5" s="14" t="s">
        <v>8</v>
      </c>
      <c r="C5" s="15" t="s">
        <v>9</v>
      </c>
      <c r="E5" s="39" t="s">
        <v>91</v>
      </c>
      <c r="F5" s="39" t="s">
        <v>112</v>
      </c>
      <c r="G5" s="39" t="s">
        <v>135</v>
      </c>
      <c r="I5" s="6" t="s">
        <v>153</v>
      </c>
    </row>
    <row r="6" spans="1:9" ht="16" customHeight="1">
      <c r="A6" s="6" t="s">
        <v>34</v>
      </c>
      <c r="B6" s="6" t="s">
        <v>12</v>
      </c>
      <c r="C6" s="7">
        <v>71104</v>
      </c>
      <c r="E6" s="39" t="s">
        <v>92</v>
      </c>
      <c r="F6" s="39" t="s">
        <v>113</v>
      </c>
      <c r="G6" s="39" t="s">
        <v>135</v>
      </c>
      <c r="I6" s="6" t="s">
        <v>154</v>
      </c>
    </row>
    <row r="7" spans="1:9" ht="16" customHeight="1">
      <c r="A7" s="6" t="s">
        <v>35</v>
      </c>
      <c r="B7" s="6" t="s">
        <v>14</v>
      </c>
      <c r="C7" s="7">
        <v>97455</v>
      </c>
      <c r="E7" s="39" t="s">
        <v>93</v>
      </c>
      <c r="F7" s="39" t="s">
        <v>114</v>
      </c>
      <c r="G7" s="39" t="s">
        <v>135</v>
      </c>
      <c r="I7" s="6" t="s">
        <v>155</v>
      </c>
    </row>
    <row r="8" spans="1:9" ht="16" customHeight="1">
      <c r="A8" s="6" t="s">
        <v>36</v>
      </c>
      <c r="B8" s="6" t="s">
        <v>15</v>
      </c>
      <c r="C8" s="7">
        <v>113417</v>
      </c>
      <c r="E8" s="39" t="s">
        <v>94</v>
      </c>
      <c r="F8" s="39" t="s">
        <v>115</v>
      </c>
      <c r="G8" s="39" t="s">
        <v>135</v>
      </c>
      <c r="I8" s="6" t="s">
        <v>156</v>
      </c>
    </row>
    <row r="9" spans="1:9" ht="16" customHeight="1">
      <c r="A9" s="6" t="s">
        <v>37</v>
      </c>
      <c r="B9" s="6" t="s">
        <v>61</v>
      </c>
      <c r="C9" s="7">
        <v>141213</v>
      </c>
      <c r="E9" s="39" t="s">
        <v>95</v>
      </c>
      <c r="F9" s="39" t="s">
        <v>116</v>
      </c>
      <c r="G9" s="39" t="s">
        <v>135</v>
      </c>
      <c r="I9" s="6" t="s">
        <v>157</v>
      </c>
    </row>
    <row r="10" spans="1:9" ht="16" customHeight="1">
      <c r="E10" s="39" t="s">
        <v>96</v>
      </c>
      <c r="F10" s="39" t="s">
        <v>117</v>
      </c>
      <c r="G10" s="39" t="s">
        <v>135</v>
      </c>
      <c r="I10" s="6" t="s">
        <v>158</v>
      </c>
    </row>
    <row r="11" spans="1:9" ht="16" customHeight="1">
      <c r="A11" s="2" t="s">
        <v>45</v>
      </c>
      <c r="E11" s="39" t="s">
        <v>88</v>
      </c>
      <c r="F11" s="39" t="s">
        <v>118</v>
      </c>
      <c r="G11" s="39" t="s">
        <v>136</v>
      </c>
      <c r="I11" s="6" t="s">
        <v>159</v>
      </c>
    </row>
    <row r="12" spans="1:9" ht="16" customHeight="1">
      <c r="A12" s="14" t="s">
        <v>46</v>
      </c>
      <c r="B12" s="297">
        <v>75000</v>
      </c>
      <c r="C12" s="297"/>
      <c r="E12" s="40" t="s">
        <v>98</v>
      </c>
      <c r="F12" s="39" t="s">
        <v>119</v>
      </c>
      <c r="G12" s="39" t="s">
        <v>136</v>
      </c>
    </row>
    <row r="13" spans="1:9" ht="16" customHeight="1">
      <c r="A13" s="14" t="s">
        <v>47</v>
      </c>
      <c r="B13" s="297">
        <v>250000</v>
      </c>
      <c r="C13" s="297"/>
      <c r="E13" s="39" t="s">
        <v>97</v>
      </c>
      <c r="F13" s="39" t="s">
        <v>120</v>
      </c>
      <c r="G13" s="39" t="s">
        <v>136</v>
      </c>
      <c r="I13" s="2" t="s">
        <v>172</v>
      </c>
    </row>
    <row r="14" spans="1:9" ht="16" customHeight="1">
      <c r="A14" s="14" t="s">
        <v>48</v>
      </c>
      <c r="B14" s="297">
        <v>500000</v>
      </c>
      <c r="C14" s="297"/>
      <c r="E14" s="39" t="s">
        <v>99</v>
      </c>
      <c r="F14" s="39" t="s">
        <v>121</v>
      </c>
      <c r="G14" s="39" t="s">
        <v>136</v>
      </c>
      <c r="I14" s="2" t="s">
        <v>173</v>
      </c>
    </row>
    <row r="15" spans="1:9" ht="16" customHeight="1">
      <c r="E15" s="39" t="s">
        <v>100</v>
      </c>
      <c r="F15" s="39" t="s">
        <v>122</v>
      </c>
      <c r="G15" s="39" t="s">
        <v>136</v>
      </c>
      <c r="I15" s="2" t="s">
        <v>174</v>
      </c>
    </row>
    <row r="16" spans="1:9" ht="16" customHeight="1">
      <c r="A16" s="2" t="s">
        <v>49</v>
      </c>
      <c r="E16" s="39" t="s">
        <v>101</v>
      </c>
      <c r="F16" s="39" t="s">
        <v>123</v>
      </c>
      <c r="G16" s="39" t="s">
        <v>136</v>
      </c>
      <c r="I16" s="2" t="s">
        <v>175</v>
      </c>
    </row>
    <row r="17" spans="1:9" ht="16" customHeight="1">
      <c r="A17" s="14" t="s">
        <v>50</v>
      </c>
      <c r="B17" s="13">
        <v>0.16</v>
      </c>
      <c r="E17" s="39" t="s">
        <v>102</v>
      </c>
      <c r="F17" s="39" t="s">
        <v>124</v>
      </c>
      <c r="G17" s="39" t="s">
        <v>136</v>
      </c>
      <c r="I17" s="2" t="s">
        <v>176</v>
      </c>
    </row>
    <row r="18" spans="1:9" ht="16" customHeight="1">
      <c r="A18" s="14" t="s">
        <v>51</v>
      </c>
      <c r="B18" s="13">
        <v>0.13</v>
      </c>
      <c r="E18" s="39" t="s">
        <v>103</v>
      </c>
      <c r="F18" s="39" t="s">
        <v>125</v>
      </c>
      <c r="G18" s="39" t="s">
        <v>137</v>
      </c>
      <c r="I18" s="2" t="s">
        <v>177</v>
      </c>
    </row>
    <row r="19" spans="1:9" ht="16" customHeight="1">
      <c r="B19" s="12"/>
      <c r="E19" s="39" t="s">
        <v>104</v>
      </c>
      <c r="F19" s="39" t="s">
        <v>126</v>
      </c>
      <c r="G19" s="39" t="s">
        <v>137</v>
      </c>
      <c r="I19" s="2" t="s">
        <v>178</v>
      </c>
    </row>
    <row r="20" spans="1:9" ht="16" customHeight="1">
      <c r="E20" s="39" t="s">
        <v>105</v>
      </c>
      <c r="F20" s="39" t="s">
        <v>127</v>
      </c>
      <c r="G20" s="39" t="s">
        <v>137</v>
      </c>
      <c r="I20" s="2" t="s">
        <v>179</v>
      </c>
    </row>
    <row r="21" spans="1:9" ht="16" customHeight="1">
      <c r="A21" s="2" t="s">
        <v>164</v>
      </c>
      <c r="E21" s="39" t="s">
        <v>106</v>
      </c>
      <c r="F21" s="39" t="s">
        <v>128</v>
      </c>
      <c r="G21" s="39" t="s">
        <v>137</v>
      </c>
      <c r="I21" s="2" t="s">
        <v>180</v>
      </c>
    </row>
    <row r="22" spans="1:9" ht="16" customHeight="1">
      <c r="A22" s="10" t="s">
        <v>165</v>
      </c>
      <c r="E22" s="39" t="s">
        <v>107</v>
      </c>
      <c r="F22" s="39" t="s">
        <v>129</v>
      </c>
      <c r="G22" s="39" t="s">
        <v>138</v>
      </c>
      <c r="I22" s="2" t="s">
        <v>181</v>
      </c>
    </row>
    <row r="23" spans="1:9" ht="16" customHeight="1">
      <c r="A23" s="10" t="s">
        <v>166</v>
      </c>
      <c r="E23" s="39" t="s">
        <v>108</v>
      </c>
      <c r="F23" s="39" t="s">
        <v>130</v>
      </c>
      <c r="G23" s="39" t="s">
        <v>138</v>
      </c>
      <c r="I23" s="2" t="s">
        <v>182</v>
      </c>
    </row>
    <row r="24" spans="1:9" ht="16" customHeight="1">
      <c r="A24" s="10" t="s">
        <v>167</v>
      </c>
      <c r="E24" s="39" t="s">
        <v>109</v>
      </c>
      <c r="F24" s="39" t="s">
        <v>131</v>
      </c>
      <c r="G24" s="39" t="s">
        <v>139</v>
      </c>
    </row>
    <row r="25" spans="1:9" ht="16" customHeight="1">
      <c r="A25" s="10" t="s">
        <v>168</v>
      </c>
      <c r="E25" s="39" t="s">
        <v>110</v>
      </c>
      <c r="F25" s="39" t="s">
        <v>132</v>
      </c>
      <c r="G25" s="39" t="s">
        <v>139</v>
      </c>
    </row>
    <row r="26" spans="1:9" ht="16" customHeight="1">
      <c r="E26" s="39" t="s">
        <v>111</v>
      </c>
      <c r="F26" s="39" t="s">
        <v>133</v>
      </c>
      <c r="G26" s="39" t="s">
        <v>140</v>
      </c>
    </row>
    <row r="27" spans="1:9" ht="16" customHeight="1">
      <c r="A27" s="2" t="s">
        <v>183</v>
      </c>
      <c r="I27" s="2" t="s">
        <v>229</v>
      </c>
    </row>
    <row r="28" spans="1:9" ht="16" customHeight="1">
      <c r="A28" s="10" t="s">
        <v>184</v>
      </c>
      <c r="E28" s="2" t="s">
        <v>222</v>
      </c>
      <c r="I28" s="10" t="s">
        <v>236</v>
      </c>
    </row>
    <row r="29" spans="1:9" ht="16" customHeight="1">
      <c r="A29" s="10" t="s">
        <v>185</v>
      </c>
      <c r="E29" s="2" t="s">
        <v>223</v>
      </c>
      <c r="I29" s="10" t="s">
        <v>230</v>
      </c>
    </row>
    <row r="30" spans="1:9" ht="16" customHeight="1">
      <c r="A30" s="10" t="s">
        <v>186</v>
      </c>
      <c r="E30" s="2" t="s">
        <v>224</v>
      </c>
      <c r="I30" s="10" t="s">
        <v>231</v>
      </c>
    </row>
    <row r="31" spans="1:9" ht="16" customHeight="1">
      <c r="A31" s="10" t="s">
        <v>402</v>
      </c>
      <c r="E31" s="2" t="s">
        <v>227</v>
      </c>
      <c r="I31" s="10" t="s">
        <v>232</v>
      </c>
    </row>
    <row r="32" spans="1:9" ht="16" customHeight="1">
      <c r="A32" s="10" t="s">
        <v>187</v>
      </c>
      <c r="E32" s="2" t="s">
        <v>225</v>
      </c>
      <c r="I32" s="10" t="s">
        <v>233</v>
      </c>
    </row>
    <row r="33" spans="1:9" ht="16" customHeight="1">
      <c r="A33" s="10" t="s">
        <v>188</v>
      </c>
      <c r="E33" s="2" t="s">
        <v>226</v>
      </c>
      <c r="I33" s="10" t="s">
        <v>234</v>
      </c>
    </row>
    <row r="34" spans="1:9" ht="16" customHeight="1">
      <c r="A34" s="10" t="s">
        <v>189</v>
      </c>
      <c r="I34" s="10" t="s">
        <v>235</v>
      </c>
    </row>
    <row r="35" spans="1:9" ht="16" customHeight="1">
      <c r="A35" s="10" t="s">
        <v>190</v>
      </c>
      <c r="E35" s="2" t="s">
        <v>238</v>
      </c>
      <c r="I35" s="10" t="s">
        <v>237</v>
      </c>
    </row>
    <row r="36" spans="1:9" ht="16" customHeight="1">
      <c r="A36" s="10" t="s">
        <v>191</v>
      </c>
      <c r="E36" s="10" t="s">
        <v>239</v>
      </c>
    </row>
    <row r="37" spans="1:9" ht="16" customHeight="1">
      <c r="A37" s="10" t="s">
        <v>192</v>
      </c>
      <c r="E37" s="10" t="s">
        <v>240</v>
      </c>
      <c r="I37" s="2" t="s">
        <v>244</v>
      </c>
    </row>
    <row r="38" spans="1:9" ht="16" customHeight="1">
      <c r="A38" s="10" t="s">
        <v>193</v>
      </c>
      <c r="E38" s="10" t="s">
        <v>241</v>
      </c>
      <c r="I38" s="10" t="s">
        <v>245</v>
      </c>
    </row>
    <row r="39" spans="1:9" ht="16" customHeight="1">
      <c r="A39" s="10" t="s">
        <v>194</v>
      </c>
      <c r="E39" s="10" t="s">
        <v>242</v>
      </c>
      <c r="I39" s="10" t="s">
        <v>246</v>
      </c>
    </row>
    <row r="40" spans="1:9" ht="16" customHeight="1">
      <c r="A40" s="10" t="s">
        <v>195</v>
      </c>
      <c r="E40" s="10" t="s">
        <v>243</v>
      </c>
      <c r="I40" s="10" t="s">
        <v>247</v>
      </c>
    </row>
    <row r="41" spans="1:9" ht="16" customHeight="1">
      <c r="I41" s="10" t="s">
        <v>248</v>
      </c>
    </row>
    <row r="42" spans="1:9" ht="16" customHeight="1">
      <c r="E42" s="2" t="s">
        <v>332</v>
      </c>
      <c r="I42" s="10" t="s">
        <v>249</v>
      </c>
    </row>
    <row r="43" spans="1:9" ht="16" customHeight="1">
      <c r="E43" s="161" t="s">
        <v>333</v>
      </c>
      <c r="F43" s="161" t="s">
        <v>334</v>
      </c>
      <c r="G43" s="161" t="s">
        <v>335</v>
      </c>
      <c r="I43" s="10" t="s">
        <v>243</v>
      </c>
    </row>
    <row r="44" spans="1:9" ht="16" customHeight="1">
      <c r="E44" s="10" t="s">
        <v>336</v>
      </c>
      <c r="F44" s="10" t="s">
        <v>362</v>
      </c>
      <c r="G44" s="10" t="s">
        <v>355</v>
      </c>
    </row>
    <row r="45" spans="1:9" ht="16" customHeight="1">
      <c r="E45" s="10" t="s">
        <v>337</v>
      </c>
      <c r="F45" s="10" t="s">
        <v>363</v>
      </c>
      <c r="G45" s="10" t="s">
        <v>356</v>
      </c>
    </row>
    <row r="46" spans="1:9" ht="16" customHeight="1">
      <c r="E46" s="10" t="s">
        <v>338</v>
      </c>
      <c r="F46" s="10" t="s">
        <v>364</v>
      </c>
      <c r="G46" s="10" t="s">
        <v>383</v>
      </c>
    </row>
    <row r="47" spans="1:9" ht="16" customHeight="1">
      <c r="E47" s="10" t="s">
        <v>339</v>
      </c>
      <c r="F47" s="10" t="s">
        <v>365</v>
      </c>
      <c r="G47" s="10" t="s">
        <v>357</v>
      </c>
    </row>
    <row r="48" spans="1:9" ht="16" customHeight="1">
      <c r="E48" s="10" t="s">
        <v>340</v>
      </c>
      <c r="F48" s="10" t="s">
        <v>366</v>
      </c>
      <c r="G48" s="10" t="s">
        <v>384</v>
      </c>
    </row>
    <row r="49" spans="5:7" ht="16" customHeight="1">
      <c r="E49" s="10" t="s">
        <v>341</v>
      </c>
      <c r="F49" s="10" t="s">
        <v>367</v>
      </c>
      <c r="G49" s="10" t="s">
        <v>358</v>
      </c>
    </row>
    <row r="50" spans="5:7" ht="16" customHeight="1">
      <c r="E50" s="10" t="s">
        <v>342</v>
      </c>
      <c r="F50" s="10" t="s">
        <v>368</v>
      </c>
      <c r="G50" s="10" t="s">
        <v>385</v>
      </c>
    </row>
    <row r="51" spans="5:7" ht="16" customHeight="1">
      <c r="E51" s="10" t="s">
        <v>343</v>
      </c>
      <c r="F51" s="10" t="s">
        <v>369</v>
      </c>
      <c r="G51" s="10" t="s">
        <v>359</v>
      </c>
    </row>
    <row r="52" spans="5:7" ht="16" customHeight="1">
      <c r="E52" s="10" t="s">
        <v>344</v>
      </c>
      <c r="F52" s="10" t="s">
        <v>370</v>
      </c>
      <c r="G52" s="10" t="s">
        <v>386</v>
      </c>
    </row>
    <row r="53" spans="5:7" ht="16" customHeight="1">
      <c r="E53" s="10" t="s">
        <v>345</v>
      </c>
      <c r="F53" s="10" t="s">
        <v>371</v>
      </c>
      <c r="G53" s="10" t="s">
        <v>387</v>
      </c>
    </row>
    <row r="54" spans="5:7" ht="16" customHeight="1">
      <c r="E54" s="10" t="s">
        <v>346</v>
      </c>
      <c r="F54" s="10" t="s">
        <v>372</v>
      </c>
      <c r="G54" s="10" t="s">
        <v>360</v>
      </c>
    </row>
    <row r="55" spans="5:7" ht="16" customHeight="1">
      <c r="E55" s="10" t="s">
        <v>347</v>
      </c>
      <c r="F55" s="10" t="s">
        <v>373</v>
      </c>
      <c r="G55" s="10" t="s">
        <v>361</v>
      </c>
    </row>
    <row r="56" spans="5:7" ht="16" customHeight="1">
      <c r="E56" s="10" t="s">
        <v>348</v>
      </c>
      <c r="F56" s="10" t="s">
        <v>374</v>
      </c>
      <c r="G56" s="10" t="s">
        <v>388</v>
      </c>
    </row>
    <row r="57" spans="5:7" ht="16" customHeight="1">
      <c r="E57" s="10" t="s">
        <v>349</v>
      </c>
      <c r="F57" s="10" t="s">
        <v>375</v>
      </c>
      <c r="G57" s="10" t="s">
        <v>389</v>
      </c>
    </row>
    <row r="58" spans="5:7" ht="16" customHeight="1">
      <c r="E58" s="10" t="s">
        <v>350</v>
      </c>
      <c r="F58" s="10" t="s">
        <v>376</v>
      </c>
      <c r="G58" s="10" t="s">
        <v>390</v>
      </c>
    </row>
    <row r="59" spans="5:7" ht="16" customHeight="1">
      <c r="E59" s="10" t="s">
        <v>351</v>
      </c>
      <c r="F59" s="10" t="s">
        <v>377</v>
      </c>
      <c r="G59" s="10" t="s">
        <v>391</v>
      </c>
    </row>
    <row r="60" spans="5:7" ht="16" customHeight="1">
      <c r="E60" s="10" t="s">
        <v>382</v>
      </c>
      <c r="F60" s="10" t="s">
        <v>378</v>
      </c>
      <c r="G60" s="10" t="s">
        <v>392</v>
      </c>
    </row>
    <row r="61" spans="5:7" ht="16" customHeight="1">
      <c r="E61" s="10" t="s">
        <v>352</v>
      </c>
      <c r="F61" s="10" t="s">
        <v>379</v>
      </c>
      <c r="G61" s="10" t="s">
        <v>393</v>
      </c>
    </row>
    <row r="62" spans="5:7" ht="16" customHeight="1">
      <c r="E62" s="10" t="s">
        <v>353</v>
      </c>
      <c r="F62" s="10" t="s">
        <v>380</v>
      </c>
      <c r="G62" s="10" t="s">
        <v>394</v>
      </c>
    </row>
    <row r="63" spans="5:7" ht="16" customHeight="1">
      <c r="E63" s="10" t="s">
        <v>354</v>
      </c>
      <c r="F63" s="10" t="s">
        <v>381</v>
      </c>
      <c r="G63" s="10" t="s">
        <v>395</v>
      </c>
    </row>
  </sheetData>
  <mergeCells count="3">
    <mergeCell ref="B12:C12"/>
    <mergeCell ref="B13:C13"/>
    <mergeCell ref="B14:C14"/>
  </mergeCells>
  <phoneticPr fontId="8" type="noConversion"/>
  <pageMargins left="0.7" right="0.7" top="0.75" bottom="0.75" header="0.3" footer="0.3"/>
  <ignoredErrors>
    <ignoredError sqref="E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89</vt:i4>
      </vt:variant>
    </vt:vector>
  </HeadingPairs>
  <TitlesOfParts>
    <vt:vector size="96" baseType="lpstr">
      <vt:lpstr>Policy</vt:lpstr>
      <vt:lpstr>Deal info</vt:lpstr>
      <vt:lpstr>Cost simulation</vt:lpstr>
      <vt:lpstr>Resouces</vt:lpstr>
      <vt:lpstr>E3T Check</vt:lpstr>
      <vt:lpstr>|||</vt:lpstr>
      <vt:lpstr>Meta data</vt:lpstr>
      <vt:lpstr>DI.Assumption</vt:lpstr>
      <vt:lpstr>DI.ClientPrincipal</vt:lpstr>
      <vt:lpstr>DI.Customer</vt:lpstr>
      <vt:lpstr>DI.E3TDuration</vt:lpstr>
      <vt:lpstr>DI.ECO</vt:lpstr>
      <vt:lpstr>DI.EID</vt:lpstr>
      <vt:lpstr>DI.EndDate</vt:lpstr>
      <vt:lpstr>DI.EXCHG_RATE</vt:lpstr>
      <vt:lpstr>DI.FinanceLead</vt:lpstr>
      <vt:lpstr>DI.LOB</vt:lpstr>
      <vt:lpstr>DI.OPPID</vt:lpstr>
      <vt:lpstr>DI.PL</vt:lpstr>
      <vt:lpstr>DI.PreparedBy</vt:lpstr>
      <vt:lpstr>DI.ProjectDuration</vt:lpstr>
      <vt:lpstr>DI.ProjectManager</vt:lpstr>
      <vt:lpstr>DI.ProjectName</vt:lpstr>
      <vt:lpstr>DI.REQUIREMENT</vt:lpstr>
      <vt:lpstr>DI.SalesManager</vt:lpstr>
      <vt:lpstr>DI.StartDate</vt:lpstr>
      <vt:lpstr>E3T.3P_RATE</vt:lpstr>
      <vt:lpstr>E3T.3PPDT_RATE</vt:lpstr>
      <vt:lpstr>E3T.3PPDTREV</vt:lpstr>
      <vt:lpstr>E3T.3PPDTREV_USD</vt:lpstr>
      <vt:lpstr>E3T.3PREV</vt:lpstr>
      <vt:lpstr>E3T.3PREV_USD</vt:lpstr>
      <vt:lpstr>E3T.3PSVC_RATE</vt:lpstr>
      <vt:lpstr>E3T.3PSVCREV</vt:lpstr>
      <vt:lpstr>E3T.3PSVCREV_USD</vt:lpstr>
      <vt:lpstr>E3T.DEAL_ID</vt:lpstr>
      <vt:lpstr>E3T.EGM</vt:lpstr>
      <vt:lpstr>E3T.EXCHG_RATE</vt:lpstr>
      <vt:lpstr>E3T.FLGM</vt:lpstr>
      <vt:lpstr>E3T.HPE_RATE</vt:lpstr>
      <vt:lpstr>E3T.HPEREV</vt:lpstr>
      <vt:lpstr>E3T.HPEREV_USD</vt:lpstr>
      <vt:lpstr>E3T.RISK_KRW</vt:lpstr>
      <vt:lpstr>E3T.RISK_RATE</vt:lpstr>
      <vt:lpstr>E3T.RISK_USD</vt:lpstr>
      <vt:lpstr>E3T.TCV</vt:lpstr>
      <vt:lpstr>E3T.TCV_USD</vt:lpstr>
      <vt:lpstr>E3T.TCV_USDK</vt:lpstr>
      <vt:lpstr>E3T.TOTALCOST</vt:lpstr>
      <vt:lpstr>E3T.TOTALCOST_USD</vt:lpstr>
      <vt:lpstr>EXCHG_RATE</vt:lpstr>
      <vt:lpstr>EXP_COST</vt:lpstr>
      <vt:lpstr>FLGM</vt:lpstr>
      <vt:lpstr>FLGM_STD</vt:lpstr>
      <vt:lpstr>HPEAhours1</vt:lpstr>
      <vt:lpstr>HPEAhours2</vt:lpstr>
      <vt:lpstr>HPEAhours3</vt:lpstr>
      <vt:lpstr>HPEAhours4</vt:lpstr>
      <vt:lpstr>HPEAhours5</vt:lpstr>
      <vt:lpstr>HPEAremarks1</vt:lpstr>
      <vt:lpstr>HPEAremarks2</vt:lpstr>
      <vt:lpstr>HPEAremarks3</vt:lpstr>
      <vt:lpstr>HPEAremarks4</vt:lpstr>
      <vt:lpstr>HPEAremarks5</vt:lpstr>
      <vt:lpstr>HPEAType1</vt:lpstr>
      <vt:lpstr>HPEAType2</vt:lpstr>
      <vt:lpstr>HPEAType3</vt:lpstr>
      <vt:lpstr>HPEAType4</vt:lpstr>
      <vt:lpstr>HPEAType5</vt:lpstr>
      <vt:lpstr>HPETCV_USD</vt:lpstr>
      <vt:lpstr>HPEThours1</vt:lpstr>
      <vt:lpstr>HPEThours2</vt:lpstr>
      <vt:lpstr>HPEThours3</vt:lpstr>
      <vt:lpstr>HPEThours4</vt:lpstr>
      <vt:lpstr>HPETremarks1</vt:lpstr>
      <vt:lpstr>HPETremarks2</vt:lpstr>
      <vt:lpstr>HPETremarks3</vt:lpstr>
      <vt:lpstr>HPETremarks4</vt:lpstr>
      <vt:lpstr>HPETType1</vt:lpstr>
      <vt:lpstr>HPETType2</vt:lpstr>
      <vt:lpstr>HPETType3</vt:lpstr>
      <vt:lpstr>HPETType4</vt:lpstr>
      <vt:lpstr>PDT_COST</vt:lpstr>
      <vt:lpstr>PDT_EGM</vt:lpstr>
      <vt:lpstr>PL_LIST</vt:lpstr>
      <vt:lpstr>RISK_RATE</vt:lpstr>
      <vt:lpstr>RISK_USD</vt:lpstr>
      <vt:lpstr>SVC_COST</vt:lpstr>
      <vt:lpstr>SVC_EGM</vt:lpstr>
      <vt:lpstr>TCV_USD</vt:lpstr>
      <vt:lpstr>THPTCV_USD</vt:lpstr>
      <vt:lpstr>THSTCV_USD</vt:lpstr>
      <vt:lpstr>TOTALCOST_USD</vt:lpstr>
      <vt:lpstr>UTIL_HOURS</vt:lpstr>
      <vt:lpstr>UTIL_STD</vt:lpstr>
      <vt:lpstr>UTIL_TABLE</vt:lpstr>
    </vt:vector>
  </TitlesOfParts>
  <Company>Hewlett 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 Her</dc:creator>
  <cp:lastModifiedBy>Il Her</cp:lastModifiedBy>
  <cp:lastPrinted>2022-08-05T08:39:52Z</cp:lastPrinted>
  <dcterms:created xsi:type="dcterms:W3CDTF">2022-01-20T07:52:31Z</dcterms:created>
  <dcterms:modified xsi:type="dcterms:W3CDTF">2022-09-22T08:42:09Z</dcterms:modified>
</cp:coreProperties>
</file>