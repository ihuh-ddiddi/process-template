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drawings/drawing3.xml" ContentType="application/vnd.openxmlformats-officedocument.drawing+xml"/>
  <Override PartName="/xl/ctrlProps/ctrlProp2.xml" ContentType="application/vnd.ms-excel.controlproperties+xml"/>
  <Override PartName="/xl/drawings/drawing4.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drawings/drawing9.xml" ContentType="application/vnd.openxmlformats-officedocument.drawing+xml"/>
  <Override PartName="/xl/ctrlProps/ctrlProp10.xml" ContentType="application/vnd.ms-excel.controlproperties+xml"/>
  <Override PartName="/xl/drawings/drawing10.xml" ContentType="application/vnd.openxmlformats-officedocument.drawing+xml"/>
  <Override PartName="/xl/ctrlProps/ctrlProp11.xml" ContentType="application/vnd.ms-excel.controlproperties+xml"/>
  <Override PartName="/xl/drawings/drawing11.xml" ContentType="application/vnd.openxmlformats-officedocument.drawing+xml"/>
  <Override PartName="/xl/ctrlProps/ctrlProp12.xml" ContentType="application/vnd.ms-excel.controlproperties+xml"/>
  <Override PartName="/xl/drawings/drawing12.xml" ContentType="application/vnd.openxmlformats-officedocument.drawing+xml"/>
  <Override PartName="/xl/ctrlProps/ctrlProp13.xml" ContentType="application/vnd.ms-excel.controlproperties+xml"/>
  <Override PartName="/xl/drawings/drawing13.xml" ContentType="application/vnd.openxmlformats-officedocument.drawing+xml"/>
  <Override PartName="/xl/ctrlProps/ctrlProp14.xml" ContentType="application/vnd.ms-excel.controlproperties+xml"/>
  <Override PartName="/xl/ctrlProps/ctrlProp15.xml" ContentType="application/vnd.ms-excel.controlproperties+xml"/>
  <Override PartName="/xl/drawings/drawing14.xml" ContentType="application/vnd.openxmlformats-officedocument.drawing+xml"/>
  <Override PartName="/xl/ctrlProps/ctrlProp16.xml" ContentType="application/vnd.ms-excel.controlproperties+xml"/>
  <Override PartName="/xl/drawings/drawing15.xml" ContentType="application/vnd.openxmlformats-officedocument.drawing+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drawings/drawing1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drawings/drawing17.xml" ContentType="application/vnd.openxmlformats-officedocument.drawing+xml"/>
  <Override PartName="/xl/ctrlProps/ctrlProp2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C:\Users\heril\Documents\Pursuit\00. SOAR\SOAR Automation (202201)\SOAR Template\"/>
    </mc:Choice>
  </mc:AlternateContent>
  <bookViews>
    <workbookView xWindow="-110" yWindow="-110" windowWidth="19420" windowHeight="10420" tabRatio="795" firstSheet="1" activeTab="2"/>
  </bookViews>
  <sheets>
    <sheet name="Policy" sheetId="31" r:id="rId1"/>
    <sheet name="Deal info" sheetId="8" r:id="rId2"/>
    <sheet name="Cost simulation" sheetId="5" r:id="rId3"/>
    <sheet name="Resouces" sheetId="33" r:id="rId4"/>
    <sheet name="E3T Check" sheetId="15" r:id="rId5"/>
    <sheet name="SFDC" sheetId="12" r:id="rId6"/>
    <sheet name="SOW" sheetId="20" r:id="rId7"/>
    <sheet name="Risk Log" sheetId="14" r:id="rId8"/>
    <sheet name="DA briefing" sheetId="16" r:id="rId9"/>
    <sheet name="DO" sheetId="11" r:id="rId10"/>
    <sheet name="SA" sheetId="13" r:id="rId11"/>
    <sheet name="Deal eng." sheetId="17" r:id="rId12"/>
    <sheet name="GN" sheetId="18" r:id="rId13"/>
    <sheet name="NSP" sheetId="32" r:id="rId14"/>
    <sheet name="SUM" sheetId="19" r:id="rId15"/>
    <sheet name="FLGM Jf" sheetId="23" r:id="rId16"/>
    <sheet name="PCS upload" sheetId="28" r:id="rId17"/>
    <sheet name="||" sheetId="7" r:id="rId18"/>
    <sheet name="Contract" sheetId="25" r:id="rId19"/>
    <sheet name="3M" sheetId="29" r:id="rId20"/>
    <sheet name="|||" sheetId="24" r:id="rId21"/>
    <sheet name="Meta data" sheetId="6" r:id="rId22"/>
    <sheet name="PCS Mail" sheetId="9" r:id="rId23"/>
    <sheet name="Mail" sheetId="30" r:id="rId24"/>
  </sheets>
  <functionGroups builtInGroupCount="18"/>
  <externalReferences>
    <externalReference r:id="rId25"/>
    <externalReference r:id="rId26"/>
  </externalReferences>
  <definedNames>
    <definedName name="_E3T.Customer">[1]E3T!$B$4</definedName>
    <definedName name="_E3T.EID">[1]E3T!$B$6</definedName>
    <definedName name="_E3T.ProjectName">[1]E3T!$B$5</definedName>
    <definedName name="APEID">DO!$B$5</definedName>
    <definedName name="DA.Assumption">'DA briefing'!$B$13</definedName>
    <definedName name="DA.Requirement">'DA briefing'!$B$9</definedName>
    <definedName name="DE.GTM">'Deal eng.'!$B$17</definedName>
    <definedName name="DE.SUB_DATE">'Deal eng.'!$D$4</definedName>
    <definedName name="Del_EndDatefmt">[2]Deliverables!$AH$15:$AH$20</definedName>
    <definedName name="Del_StartDatefmt">[2]Deliverables!$AG$15:$AG$20</definedName>
    <definedName name="Delivery총합" localSheetId="19">#REF!</definedName>
    <definedName name="Delivery총합">#REF!</definedName>
    <definedName name="DENG.BACKGROUND">'Deal eng.'!$B$21</definedName>
    <definedName name="DI.Assumption">'Deal info'!$B$28</definedName>
    <definedName name="DI.ClientPrincipal">'Deal info'!$E$17</definedName>
    <definedName name="DI.Customer">'Deal info'!$B$14</definedName>
    <definedName name="DI.E3TDuration">'Deal info'!$B$22</definedName>
    <definedName name="DI.ECO">'Deal info'!$E$20</definedName>
    <definedName name="DI.EID">'Deal info'!$B$5</definedName>
    <definedName name="DI.EndDate">'Deal info'!$E$11</definedName>
    <definedName name="DI.FinanceLead">'Deal info'!$E$19</definedName>
    <definedName name="DI.LOB">'Deal info'!$B$24</definedName>
    <definedName name="DI.OPPID">'Deal info'!$B$16</definedName>
    <definedName name="DI.PL">'Deal info'!$B$11</definedName>
    <definedName name="DI.PreparedBy">'Deal info'!$E$16</definedName>
    <definedName name="DI.ProjectDuration">'Deal info'!$B$23</definedName>
    <definedName name="DI.ProjectManager">'Deal info'!$E$12</definedName>
    <definedName name="DI.ProjectName">'Deal info'!$E$4</definedName>
    <definedName name="DI.REQUIREMENT">'Deal info'!$B$26</definedName>
    <definedName name="DI.SalesManager">'Deal info'!$E$18</definedName>
    <definedName name="DI.StartDate">'Deal info'!$E$10</definedName>
    <definedName name="DI_FPSOW_TotalCost">'Risk Log'!$BH$40</definedName>
    <definedName name="DI_HPLabor_TotalCost">'Risk Log'!$BH$20</definedName>
    <definedName name="DI_Travel_TotalCost">'Risk Log'!$BH$50</definedName>
    <definedName name="DO.Assumption">DO!$B$17</definedName>
    <definedName name="DO.OnsiteHours">DO!$B$20</definedName>
    <definedName name="DO.Requirement">DO!$B$14</definedName>
    <definedName name="DO.ResourcesDescription">DO!$B$16</definedName>
    <definedName name="DO.Schedule">DO!$B$27</definedName>
    <definedName name="DO.Scope">DO!$B$25</definedName>
    <definedName name="DO.Solution">DO!$B$26</definedName>
    <definedName name="DO.Workscope">DO!$B$15</definedName>
    <definedName name="E3T.3P_RATE">'E3T Check'!$B$24</definedName>
    <definedName name="E3T.3PPDT_RATE">'E3T Check'!$B$26</definedName>
    <definedName name="E3T.3PPDTREV">'E3T Check'!$B$20</definedName>
    <definedName name="E3T.3PPDTREV_USD">'E3T Check'!$B$21</definedName>
    <definedName name="E3T.3PREV">'E3T Check'!$B$16</definedName>
    <definedName name="E3T.3PREV_USD">'E3T Check'!$B$17</definedName>
    <definedName name="E3T.3PSVC_RATE">'E3T Check'!$B$25</definedName>
    <definedName name="E3T.3PSVCREV">'E3T Check'!$B$18</definedName>
    <definedName name="E3T.3PSVCREV_USD">'E3T Check'!$B$19</definedName>
    <definedName name="E3T.EGM">'E3T Check'!$B$5</definedName>
    <definedName name="E3T.EXCHG_RATE">'E3T Check'!$B$3</definedName>
    <definedName name="E3T.FLGM">'E3T Check'!$B$4</definedName>
    <definedName name="E3T.HPE_RATE">'E3T Check'!$B$23</definedName>
    <definedName name="E3T.HPEREV">'E3T Check'!$B$14</definedName>
    <definedName name="E3T.HPEREV_USD">'E3T Check'!$B$15</definedName>
    <definedName name="E3T.RISK_KRW">'E3T Check'!$B$11</definedName>
    <definedName name="E3T.RISK_RATE">'E3T Check'!$B$6</definedName>
    <definedName name="E3T.RISK_USD">'E3T Check'!$B$12</definedName>
    <definedName name="E3T.TCV">'E3T Check'!$B$8</definedName>
    <definedName name="E3T.TCV_USD">'E3T Check'!$B$9</definedName>
    <definedName name="E3T.TCV_USDK">'E3T Check'!$B$10</definedName>
    <definedName name="E3T.TOTALCOST">'E3T Check'!$B$28</definedName>
    <definedName name="E3T.TOTALCOST_USD">'E3T Check'!$B$29</definedName>
    <definedName name="EXCHG_RATE">'Cost simulation'!$B$6</definedName>
    <definedName name="EXP_COST">'Cost simulation'!$N$25</definedName>
    <definedName name="Expense" localSheetId="19">#REF!</definedName>
    <definedName name="Expense">#REF!</definedName>
    <definedName name="FLGM">'Cost simulation'!$B$8</definedName>
    <definedName name="FLGM_STD">'Cost simulation'!$B$7</definedName>
    <definedName name="G4_EGM비율" localSheetId="19">#REF!</definedName>
    <definedName name="G4_EGM비율">#REF!</definedName>
    <definedName name="HPEAhours1">'Cost simulation'!$M$19</definedName>
    <definedName name="HPEAhours2">'Cost simulation'!$M$20</definedName>
    <definedName name="HPEAhours3">'Cost simulation'!$M$21</definedName>
    <definedName name="HPEAhours4">'Cost simulation'!$M$22</definedName>
    <definedName name="HPEAhours5">'Cost simulation'!$M$23</definedName>
    <definedName name="HPEAremarks1">'Cost simulation'!$H$19</definedName>
    <definedName name="HPEAremarks2">'Cost simulation'!$H$20</definedName>
    <definedName name="HPEAremarks3">'Cost simulation'!$H$21</definedName>
    <definedName name="HPEAremarks4">'Cost simulation'!$H$22</definedName>
    <definedName name="HPEAremarks5">'Cost simulation'!$H$23</definedName>
    <definedName name="HPEAType1">'Cost simulation'!$I$19</definedName>
    <definedName name="HPEAType2">'Cost simulation'!$I$20</definedName>
    <definedName name="HPEAType3">'Cost simulation'!$I$21</definedName>
    <definedName name="HPEAType4">'Cost simulation'!$I$22</definedName>
    <definedName name="HPEAType5">'Cost simulation'!$I$23</definedName>
    <definedName name="HPETCV_USD">'Cost simulation'!$I$5</definedName>
    <definedName name="HPEThours1">'Cost simulation'!$J$12</definedName>
    <definedName name="HPEThours2">'Cost simulation'!$J$13</definedName>
    <definedName name="HPEThours3">'Cost simulation'!$J$14</definedName>
    <definedName name="HPEThours4">'Cost simulation'!$J$15</definedName>
    <definedName name="HPETremarks1">'Cost simulation'!$H$12</definedName>
    <definedName name="HPETremarks2">'Cost simulation'!$H$13</definedName>
    <definedName name="HPETremarks3">'Cost simulation'!$H$14</definedName>
    <definedName name="HPETremarks4">'Cost simulation'!$H$15</definedName>
    <definedName name="HPETType1">'Cost simulation'!$I$12</definedName>
    <definedName name="HPETType2">'Cost simulation'!$I$13</definedName>
    <definedName name="HPETType3">'Cost simulation'!$I$14</definedName>
    <definedName name="HPETType4">'Cost simulation'!$I$15</definedName>
    <definedName name="NSP.13Category">NSP!$A$18</definedName>
    <definedName name="NSP.13Description">NSP!$D$18</definedName>
    <definedName name="NSP.13Justification">NSP!$G$18</definedName>
    <definedName name="NSP.13YN">NSP!$C$18</definedName>
    <definedName name="NSP.14ACategory">NSP!$A$19</definedName>
    <definedName name="NSP.14ADescription">NSP!$D$19</definedName>
    <definedName name="NSP.14AJustification">NSP!$G$19</definedName>
    <definedName name="NSP.14AYN">NSP!$C$19</definedName>
    <definedName name="NSP.14BCategory">NSP!$A$20</definedName>
    <definedName name="NSP.14BDescription">NSP!$D$20</definedName>
    <definedName name="NSP.14BJustification">NSP!$G$20</definedName>
    <definedName name="NSP.14BYN">NSP!$C$20</definedName>
    <definedName name="NSP.16Category">NSP!$A$21</definedName>
    <definedName name="NSP.16Description">NSP!$D$21</definedName>
    <definedName name="NSP.16Justification">NSP!$G$21</definedName>
    <definedName name="NSP.16YN">NSP!$C$21</definedName>
    <definedName name="NSP.17Category">NSP!$A$22</definedName>
    <definedName name="NSP.17Description">NSP!$D$22</definedName>
    <definedName name="NSP.17Justification">NSP!$G$22</definedName>
    <definedName name="NSP.17YN">NSP!$C$22</definedName>
    <definedName name="NSP.18YN">NSP!$C$23</definedName>
    <definedName name="NSP.21Category">NSP!$A$24</definedName>
    <definedName name="NSP.21Description">NSP!$D$24</definedName>
    <definedName name="NSP.21Justification">NSP!$G$24</definedName>
    <definedName name="NSP.21YN">NSP!$C$24</definedName>
    <definedName name="NSP.26Category">NSP!$A$25</definedName>
    <definedName name="NSP.26Description">NSP!$D$25</definedName>
    <definedName name="NSP.26Justification">NSP!$G$25</definedName>
    <definedName name="NSP.26YN">NSP!$C$25</definedName>
    <definedName name="NSP.28Category">NSP!$A$26</definedName>
    <definedName name="NSP.28Description">NSP!$D$26</definedName>
    <definedName name="NSP.28Justification">NSP!$G$26</definedName>
    <definedName name="NSP.28YN">NSP!$C$26</definedName>
    <definedName name="NSP.32Category">NSP!$A$27</definedName>
    <definedName name="NSP.32Description">NSP!$D$27</definedName>
    <definedName name="NSP.32Justification">NSP!$G$27</definedName>
    <definedName name="NSP.32YN">NSP!$C$27</definedName>
    <definedName name="NSP.6Category">NSP!$A$16</definedName>
    <definedName name="NSP.6Description">NSP!$D$16</definedName>
    <definedName name="NSP.6Justification">NSP!$G$16</definedName>
    <definedName name="NSP.6YN">NSP!$C$16</definedName>
    <definedName name="NSP.7Category">NSP!$A$17</definedName>
    <definedName name="NSP.7Description">NSP!$D$17</definedName>
    <definedName name="NSP.7Justification">NSP!$G$17</definedName>
    <definedName name="NSP.7YN">NSP!$C$17</definedName>
    <definedName name="NSP.ContractType">NSP!$B$4</definedName>
    <definedName name="NSP.DealDescription">NSP!$D$11</definedName>
    <definedName name="PDT_COST">'Cost simulation'!$Q$8</definedName>
    <definedName name="PDT_EGM">'Cost simulation'!$B$11</definedName>
    <definedName name="PL_LIST">'Meta data'!$E$5:$E$27</definedName>
    <definedName name="QW_EGM비율" localSheetId="19">#REF!</definedName>
    <definedName name="QW_EGM비율">#REF!</definedName>
    <definedName name="RISK_RATE">'Cost simulation'!$B$12</definedName>
    <definedName name="RISK_USD">'Cost simulation'!$C$25</definedName>
    <definedName name="Risk비율" localSheetId="19">#REF!</definedName>
    <definedName name="Risk비율">#REF!</definedName>
    <definedName name="SA.3PCapabilityIssue">SA!$B$24</definedName>
    <definedName name="SA.3PCapabilityResponse">SA!$C$24</definedName>
    <definedName name="SA.3PResponsibilityIssue">SA!$B$26</definedName>
    <definedName name="SA.3PResponsibilityResponse">SA!$C$26</definedName>
    <definedName name="SA.3PSolutionIssue">SA!$B$25</definedName>
    <definedName name="SA.3PSolutionResponse">SA!$C$25</definedName>
    <definedName name="SA.ArchitectureIssue">SA!$B$19</definedName>
    <definedName name="SA.ArchitectureResponse">SA!$C$19</definedName>
    <definedName name="SA.Customer">SA!$B$6</definedName>
    <definedName name="SA.EID">SA!$B$5</definedName>
    <definedName name="SA.InterfaceIssue">SA!$B$22</definedName>
    <definedName name="SA.InterfaceResponse">SA!$C$22</definedName>
    <definedName name="SA.PerformanceIssue">SA!$B$17</definedName>
    <definedName name="SA.PerformanceResponse">SA!$C$17</definedName>
    <definedName name="SA.Reviewer">SA!$B$10</definedName>
    <definedName name="SA.ScheduleIssue">SA!$B$15</definedName>
    <definedName name="SA.ScheduleResponse">SA!$C$15</definedName>
    <definedName name="SA.ScopeIssue">SA!$B$13</definedName>
    <definedName name="SA.ScopeResponse">SA!$C$13</definedName>
    <definedName name="SA.SolutionIssue">SA!$B$21</definedName>
    <definedName name="SA.SolutionResponse">SA!$C$21</definedName>
    <definedName name="SA.WR_DATE">SA!$B$3</definedName>
    <definedName name="SFDC.BILL_MODEL">SFDC!$B$12</definedName>
    <definedName name="SFDC.SOAR_DATE">SFDC!$B$5</definedName>
    <definedName name="SFDC.SOAR_TYPE">SFDC!$B$4</definedName>
    <definedName name="STD" localSheetId="19">#REF!</definedName>
    <definedName name="STD">#REF!</definedName>
    <definedName name="SVC_COST">'Cost simulation'!$Q$7</definedName>
    <definedName name="SVC_EGM">'Cost simulation'!$B$10</definedName>
    <definedName name="TCV" localSheetId="19">#REF!</definedName>
    <definedName name="TCV">#REF!</definedName>
    <definedName name="TCV_USD">'Cost simulation'!$B$4</definedName>
    <definedName name="THPTCV_USD">'Cost simulation'!$Q$5</definedName>
    <definedName name="THSTCV_USD">'Cost simulation'!$Q$9</definedName>
    <definedName name="TOTALCOST_USD">'Cost simulation'!$B$25</definedName>
    <definedName name="UTIL_HOURS">'Cost simulation'!$M$8</definedName>
    <definedName name="UTIL_STD">'Cost simulation'!$H$8</definedName>
    <definedName name="UTIL_TABLE">'Meta data'!$B$6:$C$9</definedName>
    <definedName name="서비스총비용" localSheetId="19">#REF!</definedName>
    <definedName name="서비스총비용">#REF!</definedName>
    <definedName name="제품총비용" localSheetId="19">#REF!</definedName>
    <definedName name="제품총비용">#REF!</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Q9" i="5" l="1"/>
  <c r="B10" i="8" l="1"/>
  <c r="B9" i="8"/>
  <c r="B7" i="25"/>
  <c r="B13" i="8"/>
  <c r="M20" i="5"/>
  <c r="P11" i="33"/>
  <c r="Q11" i="33"/>
  <c r="Q17" i="33"/>
  <c r="P16" i="33"/>
  <c r="P15" i="33"/>
  <c r="P14" i="33"/>
  <c r="P13" i="33"/>
  <c r="S13" i="33"/>
  <c r="P12" i="33"/>
  <c r="S12" i="33"/>
  <c r="O16" i="33"/>
  <c r="O15" i="33"/>
  <c r="R15" i="33"/>
  <c r="O14" i="33"/>
  <c r="O13" i="33"/>
  <c r="R13" i="33"/>
  <c r="O12" i="33"/>
  <c r="S16" i="33"/>
  <c r="T16" i="33"/>
  <c r="S15" i="33"/>
  <c r="S14" i="33"/>
  <c r="S11" i="33"/>
  <c r="R14" i="33"/>
  <c r="R12" i="33"/>
  <c r="T12" i="33"/>
  <c r="R11" i="33"/>
  <c r="T14" i="33"/>
  <c r="T15" i="33"/>
  <c r="T11" i="33"/>
  <c r="T13" i="33"/>
  <c r="N12" i="5"/>
  <c r="T17" i="33"/>
  <c r="N10" i="33"/>
  <c r="M10" i="33"/>
  <c r="L10" i="33"/>
  <c r="K10" i="33"/>
  <c r="J10" i="33"/>
  <c r="I10" i="33"/>
  <c r="H10" i="33"/>
  <c r="G10" i="33"/>
  <c r="F10" i="33"/>
  <c r="E10" i="33"/>
  <c r="D10" i="33"/>
  <c r="C10" i="33"/>
  <c r="P17" i="31"/>
  <c r="B9" i="20"/>
  <c r="B12" i="20"/>
  <c r="A12" i="20"/>
  <c r="A11" i="20"/>
  <c r="F8" i="14"/>
  <c r="K12" i="14"/>
  <c r="K11" i="14"/>
  <c r="P11" i="14"/>
  <c r="Q11" i="14"/>
  <c r="Q12" i="14"/>
  <c r="P12" i="14"/>
  <c r="O12" i="14"/>
  <c r="O11" i="14"/>
  <c r="F18" i="16"/>
  <c r="B10" i="5"/>
  <c r="E7" i="15"/>
  <c r="E6" i="15"/>
  <c r="E5" i="15"/>
  <c r="E4" i="15"/>
  <c r="E3" i="15"/>
  <c r="B19" i="29"/>
  <c r="B26" i="25"/>
  <c r="B25" i="25"/>
  <c r="B6" i="23"/>
  <c r="B15" i="11"/>
  <c r="B13" i="20"/>
  <c r="A13" i="20"/>
  <c r="B10" i="20"/>
  <c r="B11" i="16"/>
  <c r="B11" i="20"/>
  <c r="A9" i="20"/>
  <c r="A10" i="20"/>
  <c r="E9" i="8"/>
  <c r="E8" i="8"/>
  <c r="E7" i="8"/>
  <c r="E15" i="8"/>
  <c r="E14" i="8"/>
  <c r="B16" i="25"/>
  <c r="B14" i="23"/>
  <c r="B13" i="23"/>
  <c r="B29" i="19"/>
  <c r="B13" i="16"/>
  <c r="B17" i="11"/>
  <c r="B14" i="11"/>
  <c r="B9" i="16"/>
  <c r="D11" i="32"/>
  <c r="E3" i="32"/>
  <c r="B9" i="32"/>
  <c r="B8" i="32"/>
  <c r="B7" i="32"/>
  <c r="B6" i="32"/>
  <c r="B5" i="32"/>
  <c r="B3" i="32"/>
  <c r="B11" i="5"/>
  <c r="B23" i="11"/>
  <c r="E22" i="16"/>
  <c r="L20" i="5"/>
  <c r="N20" i="5"/>
  <c r="L19" i="5"/>
  <c r="M19" i="5" s="1"/>
  <c r="B8" i="30"/>
  <c r="B7" i="30"/>
  <c r="B5" i="30"/>
  <c r="B6" i="30"/>
  <c r="B4" i="30"/>
  <c r="B3" i="30"/>
  <c r="B2" i="30"/>
  <c r="B27" i="19"/>
  <c r="D3" i="17"/>
  <c r="B10" i="25"/>
  <c r="B9" i="25"/>
  <c r="B18" i="29"/>
  <c r="B17" i="29"/>
  <c r="B17" i="28"/>
  <c r="B16" i="28"/>
  <c r="B14" i="28"/>
  <c r="B13" i="28"/>
  <c r="B12" i="28"/>
  <c r="B11" i="28"/>
  <c r="B10" i="28"/>
  <c r="B9" i="28"/>
  <c r="B8" i="28"/>
  <c r="B7" i="28"/>
  <c r="B6" i="28"/>
  <c r="B4" i="28"/>
  <c r="B15" i="25"/>
  <c r="B14" i="25"/>
  <c r="B13" i="25"/>
  <c r="B12" i="25"/>
  <c r="B11" i="25"/>
  <c r="B8" i="25"/>
  <c r="B5" i="25"/>
  <c r="B4" i="25"/>
  <c r="B3" i="25"/>
  <c r="B12" i="23"/>
  <c r="B11" i="23"/>
  <c r="B10" i="23"/>
  <c r="B9" i="23"/>
  <c r="B8" i="23"/>
  <c r="B7" i="23"/>
  <c r="B5" i="23"/>
  <c r="B4" i="23"/>
  <c r="B3" i="23"/>
  <c r="B16" i="29"/>
  <c r="B12" i="29"/>
  <c r="B14" i="29"/>
  <c r="B13" i="29"/>
  <c r="B15" i="29"/>
  <c r="B5" i="20"/>
  <c r="B4" i="20"/>
  <c r="B3" i="20"/>
  <c r="M17" i="14"/>
  <c r="M16" i="14"/>
  <c r="M15" i="14"/>
  <c r="M14" i="14"/>
  <c r="M13" i="14"/>
  <c r="M12" i="14"/>
  <c r="M11" i="14"/>
  <c r="B20" i="19"/>
  <c r="B12" i="19"/>
  <c r="B21" i="17"/>
  <c r="B23" i="19"/>
  <c r="B22" i="19"/>
  <c r="B19" i="19"/>
  <c r="B18" i="19"/>
  <c r="B17" i="19"/>
  <c r="B16" i="19"/>
  <c r="B14" i="19"/>
  <c r="B13" i="19"/>
  <c r="B11" i="19"/>
  <c r="B9" i="19"/>
  <c r="B7" i="19"/>
  <c r="B6" i="19"/>
  <c r="B5" i="19"/>
  <c r="B4" i="19"/>
  <c r="B14" i="18"/>
  <c r="B13" i="18"/>
  <c r="B12" i="18"/>
  <c r="B11" i="18"/>
  <c r="B10" i="18"/>
  <c r="B5" i="18"/>
  <c r="B4" i="18"/>
  <c r="B9" i="18"/>
  <c r="B3" i="18"/>
  <c r="D19" i="17"/>
  <c r="D18" i="17"/>
  <c r="D6" i="17"/>
  <c r="D5" i="17"/>
  <c r="B19" i="17"/>
  <c r="B7" i="17"/>
  <c r="B5" i="17"/>
  <c r="B4" i="17"/>
  <c r="B3" i="17"/>
  <c r="F20" i="16"/>
  <c r="F19" i="16"/>
  <c r="F17" i="16"/>
  <c r="B6" i="16"/>
  <c r="B5" i="16"/>
  <c r="B4" i="16"/>
  <c r="B3" i="16"/>
  <c r="D10" i="11"/>
  <c r="D9" i="11"/>
  <c r="B11" i="11"/>
  <c r="C8" i="14"/>
  <c r="F4" i="14"/>
  <c r="F5" i="14"/>
  <c r="J13" i="14"/>
  <c r="I13" i="14"/>
  <c r="F3" i="14"/>
  <c r="I4" i="14"/>
  <c r="D18" i="12"/>
  <c r="B20" i="12"/>
  <c r="B19" i="12"/>
  <c r="B18" i="12"/>
  <c r="D14" i="12"/>
  <c r="D13" i="12"/>
  <c r="B11" i="12"/>
  <c r="K13" i="14"/>
  <c r="F16" i="16"/>
  <c r="B7" i="18"/>
  <c r="B17" i="14"/>
  <c r="B16" i="14"/>
  <c r="B15" i="14"/>
  <c r="B14" i="14"/>
  <c r="B13" i="14"/>
  <c r="B12" i="14"/>
  <c r="B11" i="14"/>
  <c r="I17" i="14"/>
  <c r="I16" i="14"/>
  <c r="I15" i="14"/>
  <c r="I14" i="14"/>
  <c r="K17" i="14" a="1"/>
  <c r="K17" i="14"/>
  <c r="K16" i="14" a="1"/>
  <c r="K16" i="14"/>
  <c r="K15" i="14" a="1"/>
  <c r="K15" i="14"/>
  <c r="K14" i="14" a="1"/>
  <c r="K14" i="14"/>
  <c r="K9" i="14" s="1"/>
  <c r="I11" i="14"/>
  <c r="I12" i="14"/>
  <c r="J9" i="14"/>
  <c r="I9" i="14"/>
  <c r="C6" i="14"/>
  <c r="C4" i="14"/>
  <c r="C5" i="14"/>
  <c r="C3" i="14"/>
  <c r="C7" i="14"/>
  <c r="D7" i="11"/>
  <c r="D12" i="11"/>
  <c r="B12" i="11"/>
  <c r="B7" i="11"/>
  <c r="B4" i="11"/>
  <c r="B4" i="13"/>
  <c r="B8" i="13"/>
  <c r="B7" i="13"/>
  <c r="B6" i="13"/>
  <c r="B5" i="13"/>
  <c r="B13" i="12"/>
  <c r="Q8" i="5"/>
  <c r="B22" i="5" s="1"/>
  <c r="C22" i="5" s="1"/>
  <c r="D22" i="5" s="1"/>
  <c r="Q7" i="5"/>
  <c r="L23" i="5"/>
  <c r="M23" i="5"/>
  <c r="L22" i="5"/>
  <c r="M22" i="5"/>
  <c r="L21" i="5"/>
  <c r="M21" i="5"/>
  <c r="K18" i="5"/>
  <c r="N23" i="5"/>
  <c r="N22" i="5"/>
  <c r="N21" i="5"/>
  <c r="N15" i="5"/>
  <c r="N14" i="5"/>
  <c r="N13" i="5"/>
  <c r="N18" i="5"/>
  <c r="M18" i="5"/>
  <c r="L18" i="5"/>
  <c r="J18" i="5"/>
  <c r="I18" i="5"/>
  <c r="H18" i="5"/>
  <c r="H11" i="5"/>
  <c r="N11" i="5"/>
  <c r="J11" i="5"/>
  <c r="I11" i="5"/>
  <c r="N19" i="5" l="1"/>
  <c r="I3" i="5" s="1"/>
  <c r="B20" i="5" s="1"/>
  <c r="C20" i="5" s="1"/>
  <c r="D20" i="5" s="1"/>
  <c r="E20" i="5" s="1"/>
  <c r="M8" i="5"/>
  <c r="B18" i="11" s="1"/>
  <c r="B20" i="11" s="1"/>
  <c r="B21" i="5"/>
  <c r="E22" i="5"/>
  <c r="F22" i="5" s="1"/>
  <c r="B24" i="5" l="1"/>
  <c r="B25" i="5" s="1"/>
  <c r="Q3" i="5"/>
  <c r="C21" i="5"/>
  <c r="F20" i="5"/>
  <c r="D21" i="5" l="1"/>
  <c r="C24" i="5"/>
  <c r="C25" i="5" s="1"/>
  <c r="I4" i="5"/>
  <c r="I5" i="5" s="1"/>
  <c r="I6" i="5" s="1"/>
  <c r="D24" i="5" l="1"/>
  <c r="D25" i="5" s="1"/>
  <c r="E21" i="5"/>
  <c r="F21" i="5" l="1"/>
  <c r="E24" i="5"/>
  <c r="E25" i="5" s="1"/>
  <c r="Q4" i="5" l="1"/>
  <c r="Q5" i="5" s="1"/>
  <c r="F24" i="5"/>
  <c r="B14" i="5" s="1"/>
  <c r="F25" i="5" l="1"/>
  <c r="B3" i="5"/>
  <c r="B15" i="5"/>
  <c r="B5" i="5" l="1"/>
  <c r="B4" i="5"/>
  <c r="F6" i="5" l="1"/>
  <c r="F3" i="5"/>
  <c r="F7" i="5"/>
  <c r="F5" i="5"/>
  <c r="F4" i="5"/>
  <c r="F8" i="5"/>
  <c r="F9" i="5"/>
  <c r="B4" i="12" l="1"/>
  <c r="A2" i="19"/>
  <c r="A2" i="11"/>
  <c r="A2" i="16"/>
</calcChain>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<sst xmlns="http://schemas.openxmlformats.org/spreadsheetml/2006/main" count="1367" uniqueCount="973">
  <si>
    <t>TCV</t>
  </si>
  <si>
    <t>FLGM</t>
  </si>
  <si>
    <t>Risk</t>
  </si>
  <si>
    <t>Exchange rate</t>
  </si>
  <si>
    <t>HPE Resource</t>
  </si>
  <si>
    <t>3P Resource</t>
  </si>
  <si>
    <t>Total Contract Value</t>
  </si>
  <si>
    <t>Resource Type</t>
  </si>
  <si>
    <t>직급</t>
  </si>
  <si>
    <t>1 hour</t>
  </si>
  <si>
    <t>Type</t>
  </si>
  <si>
    <t>항목명</t>
  </si>
  <si>
    <t>과장</t>
  </si>
  <si>
    <t>Service EGM</t>
  </si>
  <si>
    <t>차장</t>
  </si>
  <si>
    <t>부장</t>
  </si>
  <si>
    <t>Expense</t>
  </si>
  <si>
    <t>Deliverable</t>
  </si>
  <si>
    <t>Sell Margin</t>
  </si>
  <si>
    <t>HPE</t>
  </si>
  <si>
    <t>3P Service</t>
  </si>
  <si>
    <t>1 month 100%: 176</t>
  </si>
  <si>
    <t>[Total Hours]</t>
  </si>
  <si>
    <t>[Average %]</t>
  </si>
  <si>
    <t>HPE Total costs</t>
  </si>
  <si>
    <t>3P Total Cost</t>
  </si>
  <si>
    <t>Cost</t>
  </si>
  <si>
    <t>TCV USD</t>
  </si>
  <si>
    <t>Product EGM</t>
  </si>
  <si>
    <t>TCV (incl. V.A.T)</t>
  </si>
  <si>
    <t>[Calculating Total Contract Value]</t>
  </si>
  <si>
    <t>Cost
(HPE+Expense)</t>
  </si>
  <si>
    <t>Total Contract
Costs (원가+Risk)</t>
  </si>
  <si>
    <t>3P Product(QW)</t>
  </si>
  <si>
    <t>TC II</t>
  </si>
  <si>
    <t>TC III</t>
  </si>
  <si>
    <t>TC IV</t>
  </si>
  <si>
    <t>TC V</t>
  </si>
  <si>
    <t>SOAR</t>
  </si>
  <si>
    <t>HPE TCV USD</t>
  </si>
  <si>
    <t>3P TCV USD</t>
  </si>
  <si>
    <t>HPE TCV</t>
  </si>
  <si>
    <t>3P TCV</t>
  </si>
  <si>
    <t>Meta data</t>
  </si>
  <si>
    <t>[Resource Utilization]</t>
  </si>
  <si>
    <t>[LSR Band]</t>
  </si>
  <si>
    <t>A</t>
  </si>
  <si>
    <t>B</t>
  </si>
  <si>
    <t>C</t>
  </si>
  <si>
    <t>[FLGM Band]</t>
  </si>
  <si>
    <t>Upper</t>
  </si>
  <si>
    <t>Lower</t>
  </si>
  <si>
    <t>OBR-Lite (Local DO)</t>
  </si>
  <si>
    <t>OBR-Lite (Local DO + Summary)</t>
  </si>
  <si>
    <t>OBR-Lite (APAC DO)</t>
  </si>
  <si>
    <t>OBR-Lite (APAC DO + Summary)</t>
  </si>
  <si>
    <t>OBR FULL Meeting</t>
  </si>
  <si>
    <t>SFDC Tiny (L1 approval)</t>
  </si>
  <si>
    <t>SFDC Tiny (L2 approval)</t>
  </si>
  <si>
    <t>[Utility 기준 선택]</t>
  </si>
  <si>
    <t>[3P Costs]</t>
  </si>
  <si>
    <t>이사</t>
  </si>
  <si>
    <t>3P Service Cost</t>
  </si>
  <si>
    <t>3P Product Cost</t>
  </si>
  <si>
    <t>Total</t>
  </si>
  <si>
    <t>-</t>
  </si>
  <si>
    <t>Deal 기본 정보</t>
  </si>
  <si>
    <t>Order Date/서류날짜</t>
  </si>
  <si>
    <t>Project Name</t>
  </si>
  <si>
    <t>EID#</t>
  </si>
  <si>
    <t>EGM</t>
  </si>
  <si>
    <t>SKU#</t>
  </si>
  <si>
    <t>Service Name</t>
  </si>
  <si>
    <t>Risk rate (%)</t>
  </si>
  <si>
    <t>Customer name (Contract)</t>
  </si>
  <si>
    <t>Start Date (with Customer)</t>
  </si>
  <si>
    <t>Order#</t>
  </si>
  <si>
    <t>End Date (with Customer)</t>
  </si>
  <si>
    <t>PO</t>
  </si>
  <si>
    <t>Project Manager name</t>
  </si>
  <si>
    <t>PL</t>
  </si>
  <si>
    <t>Project Manager title</t>
  </si>
  <si>
    <t>USD TCV</t>
  </si>
  <si>
    <t>Project Manager phone</t>
  </si>
  <si>
    <t>Project Manager E-mail</t>
  </si>
  <si>
    <t>Customer name (End user)</t>
  </si>
  <si>
    <t>Remark</t>
  </si>
  <si>
    <t>OPP-ID</t>
  </si>
  <si>
    <t xml:space="preserve">Order date / 서류날짜 </t>
  </si>
  <si>
    <t>Sold To Customer Name</t>
  </si>
  <si>
    <t>USD</t>
  </si>
  <si>
    <t>End user 정보</t>
  </si>
  <si>
    <t>Manager</t>
  </si>
  <si>
    <t>G4</t>
  </si>
  <si>
    <t>[PL List]</t>
  </si>
  <si>
    <t>Description</t>
  </si>
  <si>
    <t>G5</t>
  </si>
  <si>
    <t>6C</t>
  </si>
  <si>
    <t>H3</t>
  </si>
  <si>
    <t>PJ</t>
  </si>
  <si>
    <t>IW</t>
  </si>
  <si>
    <t>IZ</t>
  </si>
  <si>
    <t>EA</t>
  </si>
  <si>
    <t>60</t>
  </si>
  <si>
    <t>JK</t>
  </si>
  <si>
    <t>GD</t>
  </si>
  <si>
    <t>NO</t>
  </si>
  <si>
    <t>QQ</t>
  </si>
  <si>
    <t>1Z</t>
  </si>
  <si>
    <t>5V</t>
  </si>
  <si>
    <t>SV</t>
  </si>
  <si>
    <t>GU</t>
  </si>
  <si>
    <t>4J</t>
  </si>
  <si>
    <t>V0</t>
  </si>
  <si>
    <t>SQ</t>
  </si>
  <si>
    <t>SP</t>
  </si>
  <si>
    <t>QW</t>
  </si>
  <si>
    <t>AI &amp; Data Platforms</t>
  </si>
  <si>
    <t>Storage Infrastructure</t>
  </si>
  <si>
    <t>SGI Prof Services</t>
  </si>
  <si>
    <t>Cray A&amp;PS</t>
  </si>
  <si>
    <t>Security Big Data &amp; AI (New)</t>
  </si>
  <si>
    <t>Backup and Recovery Services (New)</t>
  </si>
  <si>
    <t>Platform &amp; App M&amp;M</t>
  </si>
  <si>
    <t>Cloud Native &amp; Container</t>
  </si>
  <si>
    <t>DC Technology</t>
  </si>
  <si>
    <t>HC - Transformation (New)</t>
  </si>
  <si>
    <t>Hybrid Cloud - SRC (New)</t>
  </si>
  <si>
    <t>Cloud Technology Partners</t>
  </si>
  <si>
    <t>RedPixie</t>
  </si>
  <si>
    <t>Network Consulting</t>
  </si>
  <si>
    <t>Digital Workplace</t>
  </si>
  <si>
    <t>Visual Remote Guidance</t>
  </si>
  <si>
    <t>NWI Security &amp; Cyber Resilience (New)</t>
  </si>
  <si>
    <t>Education Services</t>
  </si>
  <si>
    <t>Edu MCC</t>
  </si>
  <si>
    <t>Management of Change</t>
  </si>
  <si>
    <t>Digital Transformation and Enablement</t>
  </si>
  <si>
    <t>A&amp;PS Third Party Product</t>
  </si>
  <si>
    <t>Part</t>
  </si>
  <si>
    <t>AI&amp;D</t>
  </si>
  <si>
    <t>Hybrid Cloud</t>
  </si>
  <si>
    <t>Network, Workplace, Intelligent Edge</t>
  </si>
  <si>
    <t>Education</t>
  </si>
  <si>
    <t>Advisory &amp; Transformation</t>
  </si>
  <si>
    <t>3rd Party</t>
  </si>
  <si>
    <t>[PCS]</t>
  </si>
  <si>
    <t>[Project]</t>
  </si>
  <si>
    <t>[E3T]</t>
  </si>
  <si>
    <t>E3T Duration</t>
  </si>
  <si>
    <t>Project Duration</t>
  </si>
  <si>
    <t>Prepared by</t>
  </si>
  <si>
    <t>Client Principal</t>
  </si>
  <si>
    <t>Sales Manager</t>
  </si>
  <si>
    <t>Finance Lead</t>
  </si>
  <si>
    <t>ECO</t>
  </si>
  <si>
    <t>Project Lead LOB</t>
  </si>
  <si>
    <t>[Project Lead LOB]</t>
  </si>
  <si>
    <t>A&amp;P CLD</t>
  </si>
  <si>
    <t>A&amp;P STC</t>
  </si>
  <si>
    <t>A&amp;P DCF</t>
  </si>
  <si>
    <t>A&amp;P HIT</t>
  </si>
  <si>
    <t>A&amp;P DAN</t>
  </si>
  <si>
    <t>A&amp;P CTP</t>
  </si>
  <si>
    <t>A&amp;P 3PP</t>
  </si>
  <si>
    <t>LOB</t>
  </si>
  <si>
    <t>3P Rate</t>
  </si>
  <si>
    <t>3PP Rate</t>
  </si>
  <si>
    <t>Total USD</t>
  </si>
  <si>
    <t>Customer Name</t>
  </si>
  <si>
    <t>Lead GBU</t>
  </si>
  <si>
    <t>SFDC Online information</t>
  </si>
  <si>
    <t>Meeting Review Request Date</t>
  </si>
  <si>
    <t>Pricing Approach</t>
  </si>
  <si>
    <t>Approval Description</t>
  </si>
  <si>
    <t>Approval Required By</t>
  </si>
  <si>
    <t>Approval Lead GBU</t>
  </si>
  <si>
    <t>APS</t>
  </si>
  <si>
    <t>Governing Terms</t>
  </si>
  <si>
    <t>[Governing Terms]</t>
  </si>
  <si>
    <t>Custom T&amp;Cs</t>
  </si>
  <si>
    <t>HPE Standard T&amp;Cs</t>
  </si>
  <si>
    <t>HPE Standard T&amp;Cs to be negotiated</t>
  </si>
  <si>
    <t>Preapproved Custom T&amp;Cs</t>
  </si>
  <si>
    <t>[Review Details]</t>
  </si>
  <si>
    <t>[BG Specific Information]</t>
  </si>
  <si>
    <t>APS FLGM(%)</t>
  </si>
  <si>
    <t>Billing Model</t>
  </si>
  <si>
    <t>Deal #Months</t>
  </si>
  <si>
    <t>Lifetime Service Revenue</t>
  </si>
  <si>
    <t>Pass-through Revenue Amount</t>
  </si>
  <si>
    <t>Geography</t>
  </si>
  <si>
    <t>없음</t>
  </si>
  <si>
    <t>Contract Type</t>
  </si>
  <si>
    <t>FFP - Firm Fixed Price</t>
  </si>
  <si>
    <t>Customer Segment</t>
  </si>
  <si>
    <t>Overall Risk Rating</t>
  </si>
  <si>
    <t>Solution Mix</t>
  </si>
  <si>
    <t>Custom</t>
  </si>
  <si>
    <t>Risk Contingency Amount</t>
  </si>
  <si>
    <t>3PP%</t>
  </si>
  <si>
    <t>HPE%</t>
  </si>
  <si>
    <t>3PP on approved 3PP List?</t>
  </si>
  <si>
    <t>Binding</t>
  </si>
  <si>
    <t>NA</t>
  </si>
  <si>
    <t>Solution Architect Opinion</t>
  </si>
  <si>
    <t>Write Date (mm/dd/yy)</t>
  </si>
  <si>
    <t>EID</t>
  </si>
  <si>
    <t>Bid Team Author</t>
  </si>
  <si>
    <t>Bid Team Author's Title</t>
  </si>
  <si>
    <t>Reviewer</t>
  </si>
  <si>
    <t>Shin, Jongmin</t>
  </si>
  <si>
    <t>Reviewer's Title</t>
  </si>
  <si>
    <t>Scope</t>
  </si>
  <si>
    <t>Issue/Risk Description</t>
  </si>
  <si>
    <t>Response/Recommendation</t>
  </si>
  <si>
    <t>Based on proposed design and/or scope documents, what are the risks to creating and executing an effective test plan?</t>
  </si>
  <si>
    <t>The proposed design and scope are clearly defined so, there are no risks related to the testing plan</t>
  </si>
  <si>
    <t>Schedule</t>
  </si>
  <si>
    <t>Describe any risks in the allocated timeframe to assess customer requirements and generate the proposal.</t>
  </si>
  <si>
    <t>HPE team is well understanding customer's requirements through continuous meetings with the customer.</t>
  </si>
  <si>
    <t>Contracts/SOW</t>
  </si>
  <si>
    <t>Describe risks due to requested technical performance requirements.</t>
  </si>
  <si>
    <t>N/A</t>
  </si>
  <si>
    <t>No technical performance requirements is formally included</t>
  </si>
  <si>
    <t>Resources</t>
  </si>
  <si>
    <t>If key skills identified from the proposed architecture are not available at the local level what is the plan to address this?</t>
  </si>
  <si>
    <t>Technical</t>
  </si>
  <si>
    <t>Describe any risks in the overall solution.</t>
  </si>
  <si>
    <t>Have all products (new and/or existing) including systems that are interfaced, been tested and shown to work together?</t>
  </si>
  <si>
    <t>Third Party</t>
  </si>
  <si>
    <t>State concerns about the 3rd party(s)’ internal capability to perform the agreed upon work.</t>
  </si>
  <si>
    <t>Describe the risks if the 3rd party solution may not be achievable within the time frame desired.</t>
  </si>
  <si>
    <t>Are responsibilities/deliverables clearly defined and mutually agreed?  If no, assess the risks</t>
  </si>
  <si>
    <t>Yes.</t>
  </si>
  <si>
    <t>Local Delivery Opinion</t>
  </si>
  <si>
    <t>SFDC Opportunity ID</t>
  </si>
  <si>
    <t>Approval ID</t>
  </si>
  <si>
    <t xml:space="preserve">Customer Name: </t>
  </si>
  <si>
    <t>Bid/Engagement Manager Name</t>
  </si>
  <si>
    <t>[Section 1: Deal Information]</t>
  </si>
  <si>
    <t>Region</t>
  </si>
  <si>
    <t>Sub Region</t>
  </si>
  <si>
    <t>Physical Country</t>
  </si>
  <si>
    <t>Combined LSR</t>
  </si>
  <si>
    <t>Multi Country Type</t>
  </si>
  <si>
    <t>Contract Duration</t>
  </si>
  <si>
    <t>Solution Architect Name</t>
  </si>
  <si>
    <t>APAC</t>
  </si>
  <si>
    <t>Korea, South</t>
  </si>
  <si>
    <t>Single</t>
  </si>
  <si>
    <t>Customer's requirements</t>
  </si>
  <si>
    <t>Proposed Solution
[HPE's Work Scope]</t>
    <phoneticPr fontId="13" type="noConversion"/>
  </si>
  <si>
    <t>Proposed Solution
[Resources put in]</t>
    <phoneticPr fontId="13" type="noConversion"/>
  </si>
  <si>
    <t>Proposed Solution
[Assumption/Special Requirements]</t>
    <phoneticPr fontId="13" type="noConversion"/>
  </si>
  <si>
    <t>[Section 2: Engagement &amp; Team Details]</t>
    <phoneticPr fontId="13" type="noConversion"/>
  </si>
  <si>
    <t>HPE Onsite Hours</t>
    <phoneticPr fontId="13" type="noConversion"/>
  </si>
  <si>
    <t>3P Onsite Hours</t>
    <phoneticPr fontId="13" type="noConversion"/>
  </si>
  <si>
    <t>Onsite Hours</t>
    <phoneticPr fontId="13" type="noConversion"/>
  </si>
  <si>
    <t>Remote Hours</t>
    <phoneticPr fontId="13" type="noConversion"/>
  </si>
  <si>
    <t>Supplier Hours</t>
    <phoneticPr fontId="13" type="noConversion"/>
  </si>
  <si>
    <t>Risk Reserved (USD)</t>
    <phoneticPr fontId="13" type="noConversion"/>
  </si>
  <si>
    <t>[Section 3: Delivery Opinio Details]</t>
    <phoneticPr fontId="13" type="noConversion"/>
  </si>
  <si>
    <t>3.1 Scope</t>
    <phoneticPr fontId="13" type="noConversion"/>
  </si>
  <si>
    <t>Util총합</t>
    <phoneticPr fontId="13" type="noConversion"/>
  </si>
  <si>
    <t>3.2 Solution</t>
    <phoneticPr fontId="13" type="noConversion"/>
  </si>
  <si>
    <t>3.3 Schedule
Delivery aligned to having sufficient capacity to staff over the life of the project based on the above close date.</t>
    <phoneticPr fontId="13" type="noConversion"/>
  </si>
  <si>
    <t>Risk Log</t>
    <phoneticPr fontId="13" type="noConversion"/>
  </si>
  <si>
    <t>Project / Account name</t>
    <phoneticPr fontId="13" type="noConversion"/>
  </si>
  <si>
    <t>Customer name</t>
    <phoneticPr fontId="13" type="noConversion"/>
  </si>
  <si>
    <t>SFDC / Project ID</t>
    <phoneticPr fontId="13" type="noConversion"/>
  </si>
  <si>
    <t>Risk Log Owner</t>
    <phoneticPr fontId="13" type="noConversion"/>
  </si>
  <si>
    <t>Project Duration</t>
    <phoneticPr fontId="13" type="noConversion"/>
  </si>
  <si>
    <t>Project Start Date</t>
    <phoneticPr fontId="13" type="noConversion"/>
  </si>
  <si>
    <t>TCV Revenues (USD)</t>
    <phoneticPr fontId="13" type="noConversion"/>
  </si>
  <si>
    <t>Total Costs (USD)</t>
    <phoneticPr fontId="13" type="noConversion"/>
  </si>
  <si>
    <t>Sales Stage</t>
    <phoneticPr fontId="13" type="noConversion"/>
  </si>
  <si>
    <t>Last risk Update</t>
    <phoneticPr fontId="13" type="noConversion"/>
  </si>
  <si>
    <t>[Sales Stages in SFDC]</t>
    <phoneticPr fontId="13" type="noConversion"/>
  </si>
  <si>
    <t>01 - Understand Customer</t>
    <phoneticPr fontId="13" type="noConversion"/>
  </si>
  <si>
    <t>02 - Validate Opportunity</t>
    <phoneticPr fontId="13" type="noConversion"/>
  </si>
  <si>
    <t>03 - Qualify the Opportunity</t>
    <phoneticPr fontId="13" type="noConversion"/>
  </si>
  <si>
    <t>04A - Develop Solution</t>
    <phoneticPr fontId="13" type="noConversion"/>
  </si>
  <si>
    <t>04B - Propose Solution</t>
    <phoneticPr fontId="13" type="noConversion"/>
  </si>
  <si>
    <t>05 - Negotiate &amp; Close</t>
    <phoneticPr fontId="13" type="noConversion"/>
  </si>
  <si>
    <t>06 - Won, Deploy &amp; Expand</t>
    <phoneticPr fontId="13" type="noConversion"/>
  </si>
  <si>
    <t>Lost</t>
    <phoneticPr fontId="13" type="noConversion"/>
  </si>
  <si>
    <t>HP Not Pursued</t>
    <phoneticPr fontId="13" type="noConversion"/>
  </si>
  <si>
    <t>Error</t>
    <phoneticPr fontId="13" type="noConversion"/>
  </si>
  <si>
    <t>Internal</t>
    <phoneticPr fontId="13" type="noConversion"/>
  </si>
  <si>
    <t>Internal
/External</t>
    <phoneticPr fontId="13" type="noConversion"/>
  </si>
  <si>
    <t>Creation
Date</t>
    <phoneticPr fontId="13" type="noConversion"/>
  </si>
  <si>
    <t>Risk Category</t>
    <phoneticPr fontId="13" type="noConversion"/>
  </si>
  <si>
    <t>Risk
Owner</t>
    <phoneticPr fontId="13" type="noConversion"/>
  </si>
  <si>
    <t>Risk Title</t>
    <phoneticPr fontId="13" type="noConversion"/>
  </si>
  <si>
    <t>Risk Description</t>
    <phoneticPr fontId="13" type="noConversion"/>
  </si>
  <si>
    <t>Impact Description</t>
    <phoneticPr fontId="13" type="noConversion"/>
  </si>
  <si>
    <t>%
Probability</t>
    <phoneticPr fontId="13" type="noConversion"/>
  </si>
  <si>
    <t>[Risk Categories]</t>
    <phoneticPr fontId="13" type="noConversion"/>
  </si>
  <si>
    <t>Financial</t>
    <phoneticPr fontId="13" type="noConversion"/>
  </si>
  <si>
    <t>Project Complexity</t>
    <phoneticPr fontId="13" type="noConversion"/>
  </si>
  <si>
    <t>Project Schedule</t>
    <phoneticPr fontId="13" type="noConversion"/>
  </si>
  <si>
    <t>Technology - Hardware &amp; Software</t>
    <phoneticPr fontId="13" type="noConversion"/>
  </si>
  <si>
    <t>Client Commitment &amp; Environment</t>
    <phoneticPr fontId="13" type="noConversion"/>
  </si>
  <si>
    <t>External Risks</t>
    <phoneticPr fontId="13" type="noConversion"/>
  </si>
  <si>
    <t>HP Experience &amp; Capability</t>
    <phoneticPr fontId="13" type="noConversion"/>
  </si>
  <si>
    <t>Legal &amp; Contractual</t>
    <phoneticPr fontId="13" type="noConversion"/>
  </si>
  <si>
    <t>Project Governance</t>
    <phoneticPr fontId="13" type="noConversion"/>
  </si>
  <si>
    <t>Project Resourcing / HR</t>
    <phoneticPr fontId="13" type="noConversion"/>
  </si>
  <si>
    <t>Security, Compliance and Regulatory</t>
    <phoneticPr fontId="13" type="noConversion"/>
  </si>
  <si>
    <t>Sub-contractors</t>
    <phoneticPr fontId="13" type="noConversion"/>
  </si>
  <si>
    <t>Risk Cost (USD)</t>
    <phoneticPr fontId="13" type="noConversion"/>
  </si>
  <si>
    <t>Expected
Momentary
Value (USD)</t>
    <phoneticPr fontId="13" type="noConversion"/>
  </si>
  <si>
    <t>Expected
Momentary
Value (KRW)</t>
    <phoneticPr fontId="13" type="noConversion"/>
  </si>
  <si>
    <t>Cost impact (USD)</t>
    <phoneticPr fontId="13" type="noConversion"/>
  </si>
  <si>
    <t>Cost can increase</t>
    <phoneticPr fontId="13" type="noConversion"/>
  </si>
  <si>
    <t>Total -&gt;</t>
    <phoneticPr fontId="13" type="noConversion"/>
  </si>
  <si>
    <t>E3T Check</t>
    <phoneticPr fontId="13" type="noConversion"/>
  </si>
  <si>
    <t>Exchange Rate</t>
    <phoneticPr fontId="13" type="noConversion"/>
  </si>
  <si>
    <t>Risk Rate</t>
    <phoneticPr fontId="13" type="noConversion"/>
  </si>
  <si>
    <t>Result FLGM</t>
    <phoneticPr fontId="13" type="noConversion"/>
  </si>
  <si>
    <t>Result EGM</t>
    <phoneticPr fontId="13" type="noConversion"/>
  </si>
  <si>
    <t>Result TCV</t>
    <phoneticPr fontId="13" type="noConversion"/>
  </si>
  <si>
    <t>Result TCV (USD)</t>
    <phoneticPr fontId="13" type="noConversion"/>
  </si>
  <si>
    <t>Result TCV (USD) K</t>
    <phoneticPr fontId="13" type="noConversion"/>
  </si>
  <si>
    <t>A&amp;PS Revenue (USD)</t>
    <phoneticPr fontId="13" type="noConversion"/>
  </si>
  <si>
    <t>3P Revenue (USD)</t>
    <phoneticPr fontId="13" type="noConversion"/>
  </si>
  <si>
    <t>A&amp;PS %</t>
    <phoneticPr fontId="13" type="noConversion"/>
  </si>
  <si>
    <t>3P Rate %</t>
    <phoneticPr fontId="13" type="noConversion"/>
  </si>
  <si>
    <t>3P Service %</t>
    <phoneticPr fontId="13" type="noConversion"/>
  </si>
  <si>
    <t>3P Product %</t>
    <phoneticPr fontId="13" type="noConversion"/>
  </si>
  <si>
    <t>Risk Amount</t>
    <phoneticPr fontId="13" type="noConversion"/>
  </si>
  <si>
    <t>Risk Amount (USD)</t>
    <phoneticPr fontId="13" type="noConversion"/>
  </si>
  <si>
    <t>A&amp;PS Revenue</t>
    <phoneticPr fontId="13" type="noConversion"/>
  </si>
  <si>
    <t>3P Revenue</t>
    <phoneticPr fontId="13" type="noConversion"/>
  </si>
  <si>
    <t>3P Service Revenue</t>
    <phoneticPr fontId="13" type="noConversion"/>
  </si>
  <si>
    <t>3P Service Revenue (USD)</t>
    <phoneticPr fontId="13" type="noConversion"/>
  </si>
  <si>
    <t>3P Product Revenue</t>
    <phoneticPr fontId="13" type="noConversion"/>
  </si>
  <si>
    <t>3P Product Revenue (USD)</t>
    <phoneticPr fontId="13" type="noConversion"/>
  </si>
  <si>
    <t>Total Costs (Risk X)</t>
    <phoneticPr fontId="13" type="noConversion"/>
  </si>
  <si>
    <t>Total Costs (Risk X) (USD)</t>
    <phoneticPr fontId="13" type="noConversion"/>
  </si>
  <si>
    <t>DA Briefing Deck</t>
    <phoneticPr fontId="13" type="noConversion"/>
  </si>
  <si>
    <t>Customer Name</t>
    <phoneticPr fontId="13" type="noConversion"/>
  </si>
  <si>
    <t>Project Name</t>
    <phoneticPr fontId="13" type="noConversion"/>
  </si>
  <si>
    <t>OPE ID</t>
    <phoneticPr fontId="13" type="noConversion"/>
  </si>
  <si>
    <t>Author</t>
    <phoneticPr fontId="13" type="noConversion"/>
  </si>
  <si>
    <t>Briefing Date</t>
    <phoneticPr fontId="13" type="noConversion"/>
  </si>
  <si>
    <t>Customer's Requirement</t>
    <phoneticPr fontId="13" type="noConversion"/>
  </si>
  <si>
    <t>Proposed Solution</t>
    <phoneticPr fontId="13" type="noConversion"/>
  </si>
  <si>
    <t>Assumptions</t>
    <phoneticPr fontId="13" type="noConversion"/>
  </si>
  <si>
    <t>Service/Products</t>
    <phoneticPr fontId="13" type="noConversion"/>
  </si>
  <si>
    <t>Reason of selection</t>
    <phoneticPr fontId="13" type="noConversion"/>
  </si>
  <si>
    <t xml:space="preserve">ASL </t>
    <phoneticPr fontId="13" type="noConversion"/>
  </si>
  <si>
    <t>3P Cost</t>
    <phoneticPr fontId="13" type="noConversion"/>
  </si>
  <si>
    <t>3P Cost (USD)</t>
    <phoneticPr fontId="13" type="noConversion"/>
  </si>
  <si>
    <t>Technical Solution
[Advisory &amp; Professional Services]</t>
    <phoneticPr fontId="13" type="noConversion"/>
  </si>
  <si>
    <t>Technical Solution
[Etc.]</t>
    <phoneticPr fontId="13" type="noConversion"/>
  </si>
  <si>
    <t>Opportunity/Project Name:</t>
    <phoneticPr fontId="13" type="noConversion"/>
  </si>
  <si>
    <t>Combined FLGM/Margin</t>
    <phoneticPr fontId="13" type="noConversion"/>
  </si>
  <si>
    <t>Supplier Name</t>
  </si>
  <si>
    <t>Deal Engagement Form</t>
  </si>
  <si>
    <t>Author</t>
  </si>
  <si>
    <t>SFDC Oppty ID</t>
  </si>
  <si>
    <t>Opportunity Name</t>
  </si>
  <si>
    <t>Customer Name (Contractual)</t>
  </si>
  <si>
    <t>End Customer Name (if different)</t>
  </si>
  <si>
    <t>Existing Customer</t>
  </si>
  <si>
    <t>Industry Sector</t>
  </si>
  <si>
    <t>New, Renewal, Change</t>
  </si>
  <si>
    <t>Lead Country</t>
  </si>
  <si>
    <t>Lead Geo</t>
  </si>
  <si>
    <t>Lead BU</t>
  </si>
  <si>
    <t>Offer type</t>
  </si>
  <si>
    <t>Hybrid deal (Standard + Custom)</t>
  </si>
  <si>
    <t>Competitive environment &amp; win rate</t>
  </si>
  <si>
    <t>Go To Market</t>
  </si>
  <si>
    <t>Reseller (Tier 2 Partner)</t>
  </si>
  <si>
    <t>Deal Background (Customer's business need to be addressed)</t>
  </si>
  <si>
    <t>T&amp;C</t>
  </si>
  <si>
    <t>SOAR Date</t>
  </si>
  <si>
    <t>Contract/Project Duration</t>
  </si>
  <si>
    <t>Customer submission Date</t>
  </si>
  <si>
    <t>Delivery Start Date</t>
  </si>
  <si>
    <t>Local to Local Invoicing only</t>
  </si>
  <si>
    <t>Custeomr Invoicing Currenty</t>
  </si>
  <si>
    <t>Customer invoicing Shedule</t>
  </si>
  <si>
    <t>Customer Payment Terms</t>
  </si>
  <si>
    <t>3rd party Payment Terms</t>
  </si>
  <si>
    <t>PAYMENT TERMS</t>
  </si>
  <si>
    <t>A&amp;PS (excl LES) NET Revenue</t>
  </si>
  <si>
    <t>FLGM %</t>
  </si>
  <si>
    <t>Yes</t>
  </si>
  <si>
    <t>Korea</t>
  </si>
  <si>
    <t>[Go to Market]</t>
  </si>
  <si>
    <t>Direct</t>
  </si>
  <si>
    <t>Indirect</t>
  </si>
  <si>
    <t>Channel 2.0</t>
  </si>
  <si>
    <t>Channel 3.0</t>
  </si>
  <si>
    <t>Channel 1.0 or agency model</t>
  </si>
  <si>
    <t>SOW only</t>
  </si>
  <si>
    <t>Local</t>
  </si>
  <si>
    <t>[Milestone]</t>
  </si>
  <si>
    <t>Monthly in advance</t>
  </si>
  <si>
    <t>Monthly in arrear</t>
  </si>
  <si>
    <t>Quarterly in advance</t>
  </si>
  <si>
    <t>Quarterly in arrear</t>
  </si>
  <si>
    <t>Yearly in advance</t>
  </si>
  <si>
    <t>Yearly in arrear</t>
  </si>
  <si>
    <t>Milestone</t>
  </si>
  <si>
    <t>Other</t>
  </si>
  <si>
    <t>[Customer Invoicing Schedule]</t>
  </si>
  <si>
    <t>30 Days from Invoice date</t>
  </si>
  <si>
    <t>45 Days from Invoice date</t>
  </si>
  <si>
    <t>60 Days from Invoice date</t>
  </si>
  <si>
    <t>90 Days from Invoice date</t>
  </si>
  <si>
    <t>Other Precise</t>
  </si>
  <si>
    <t>[3rd party payment terms]</t>
  </si>
  <si>
    <t>30 Days</t>
  </si>
  <si>
    <t>45 Days</t>
  </si>
  <si>
    <t>60 Days</t>
  </si>
  <si>
    <t>90 Days</t>
  </si>
  <si>
    <t>EOAP65</t>
  </si>
  <si>
    <t>Private Sector</t>
  </si>
  <si>
    <t>New</t>
  </si>
  <si>
    <t>No</t>
  </si>
  <si>
    <t>3rd party invoicing Shedule</t>
  </si>
  <si>
    <t>Gross vs Net Questionnaire</t>
  </si>
  <si>
    <t>3rd Party Vendor's Name:</t>
  </si>
  <si>
    <t>Service Start Date and End Date</t>
  </si>
  <si>
    <t>Contract Sign Date and Term</t>
  </si>
  <si>
    <t>Total Value of 3rd Party Deliverables
=&gt; Total 3P Costs (USD)</t>
  </si>
  <si>
    <t>Detail the 3rd party products or Services</t>
  </si>
  <si>
    <t>Supplier 1</t>
  </si>
  <si>
    <t>Supplier 2</t>
  </si>
  <si>
    <t>Supplier 3</t>
  </si>
  <si>
    <t>Supplier 4</t>
  </si>
  <si>
    <t>Supplier 5</t>
  </si>
  <si>
    <t>Opportunity Identifier and Name:</t>
  </si>
  <si>
    <t>Executive Summary</t>
  </si>
  <si>
    <t>OPPID</t>
  </si>
  <si>
    <t>Customer</t>
  </si>
  <si>
    <t>ProjectName</t>
  </si>
  <si>
    <t>WrittenDate</t>
  </si>
  <si>
    <t>Sales Rep.</t>
  </si>
  <si>
    <t>SFDC APE ID</t>
  </si>
  <si>
    <t>Bid Due Date</t>
  </si>
  <si>
    <t>Industry</t>
  </si>
  <si>
    <t>Princing Approach</t>
  </si>
  <si>
    <t>Invoicing Model</t>
  </si>
  <si>
    <t>Local Invoicing only</t>
  </si>
  <si>
    <t>[OPPORTUNITY SNAPSHOT]</t>
  </si>
  <si>
    <t>Predicted FLGM%</t>
  </si>
  <si>
    <t>Product Lines</t>
  </si>
  <si>
    <t>Revenue K</t>
  </si>
  <si>
    <t>[SOLUTION OVERVIEW]</t>
  </si>
  <si>
    <t>Customer's business need to be addressed</t>
  </si>
  <si>
    <t>High Level description of our response to this</t>
  </si>
  <si>
    <t>Assumption / Special Requirements</t>
  </si>
  <si>
    <t>SOAR TYPE</t>
  </si>
  <si>
    <t>Response / Mitigation Plan</t>
  </si>
  <si>
    <t>Project Start Date</t>
  </si>
  <si>
    <t>Competitors</t>
  </si>
  <si>
    <t>Win Strategy</t>
  </si>
  <si>
    <t>Rating</t>
  </si>
  <si>
    <t>HPE SOW</t>
  </si>
  <si>
    <t>[SOW]</t>
  </si>
  <si>
    <t>Task</t>
  </si>
  <si>
    <t>R&amp;R</t>
  </si>
  <si>
    <t>Comment(3Ps)</t>
  </si>
  <si>
    <t>FLGM Justifiaciton Report</t>
  </si>
  <si>
    <t>고객명</t>
  </si>
  <si>
    <t>프로젝트명</t>
  </si>
  <si>
    <t>시작일</t>
  </si>
  <si>
    <t>종료일</t>
  </si>
  <si>
    <t>프로젝트 개요</t>
  </si>
  <si>
    <t>프로젝트 영문</t>
  </si>
  <si>
    <t>Risk Rate</t>
  </si>
  <si>
    <t>Customer SOW</t>
  </si>
  <si>
    <t>작성일자</t>
  </si>
  <si>
    <t>PM</t>
  </si>
  <si>
    <t>PM 직급</t>
  </si>
  <si>
    <t>PM 전화번호</t>
  </si>
  <si>
    <t>PM E-mail</t>
  </si>
  <si>
    <t>계약 고객명</t>
  </si>
  <si>
    <t>수행과제 1</t>
  </si>
  <si>
    <t>수행과제 2</t>
  </si>
  <si>
    <t>수행과제 3</t>
  </si>
  <si>
    <t>Customer sign-off</t>
  </si>
  <si>
    <t>검수 종류</t>
  </si>
  <si>
    <t>계약월</t>
  </si>
  <si>
    <t>검수일</t>
  </si>
  <si>
    <t>프로젝트 기간</t>
  </si>
  <si>
    <t>3P SOW</t>
  </si>
  <si>
    <t>협력업체명</t>
  </si>
  <si>
    <t>계약시작일</t>
  </si>
  <si>
    <t>계약종료일</t>
  </si>
  <si>
    <t>협력업체 Cost</t>
  </si>
  <si>
    <t>계약기간</t>
  </si>
  <si>
    <t>지급일정(Payment Term)</t>
  </si>
  <si>
    <t>Close condition</t>
  </si>
  <si>
    <t>PM 성명</t>
  </si>
  <si>
    <t>협력업체 담당자 성명</t>
  </si>
  <si>
    <t>협력업체 담당자 직급</t>
  </si>
  <si>
    <t>협력업체 담당자 전화번호</t>
  </si>
  <si>
    <t>협력업체 담당자 E-mail</t>
  </si>
  <si>
    <t>제공서비스1</t>
  </si>
  <si>
    <t>제공서비스2</t>
  </si>
  <si>
    <t>제공서비스3</t>
  </si>
  <si>
    <t>자격 및 공급기술1</t>
  </si>
  <si>
    <t>자격 및 공급기술2</t>
  </si>
  <si>
    <t>자격 및 공급기술3</t>
  </si>
  <si>
    <t>이번지급금액</t>
  </si>
  <si>
    <t>PO Number</t>
  </si>
  <si>
    <t>SOW 작성일자</t>
  </si>
  <si>
    <t>투입인력1</t>
  </si>
  <si>
    <t>투입인력2</t>
  </si>
  <si>
    <t>투입인력3</t>
  </si>
  <si>
    <t>산출물1</t>
  </si>
  <si>
    <t>산출물2</t>
  </si>
  <si>
    <t>산출물3</t>
  </si>
  <si>
    <t>3P Signoff</t>
  </si>
  <si>
    <t>HPE 프로젝트 관리자의 검수 완료</t>
  </si>
  <si>
    <t>제공 Type</t>
  </si>
  <si>
    <t>프로젝트 하도급</t>
  </si>
  <si>
    <t>PCS Upload (request of WBS creation)</t>
  </si>
  <si>
    <t>https://hpe.sharepoint.com/teams/APJPCS/Lists/APJ%20PCS%20P</t>
  </si>
  <si>
    <t>SFDC ID</t>
  </si>
  <si>
    <t>Request Type</t>
  </si>
  <si>
    <t>Original WBS ID</t>
  </si>
  <si>
    <t>Fusion Sales Order Number</t>
  </si>
  <si>
    <t>Fusion Order Booking Date</t>
  </si>
  <si>
    <t>Service Description</t>
  </si>
  <si>
    <t>Packaged SKU ID</t>
  </si>
  <si>
    <t>SOW ID (PO)</t>
  </si>
  <si>
    <t>TS Customer Name</t>
  </si>
  <si>
    <t>End User Customer Name</t>
  </si>
  <si>
    <t>Project Manager</t>
  </si>
  <si>
    <t>Contact Person in VOM</t>
  </si>
  <si>
    <t>Lead Sales Person</t>
  </si>
  <si>
    <t>Lead Portfolio Value (TCV)</t>
  </si>
  <si>
    <t>Currency</t>
  </si>
  <si>
    <t>Method Invoicing</t>
  </si>
  <si>
    <t>Status</t>
  </si>
  <si>
    <t>Prorject WBS</t>
  </si>
  <si>
    <t>Attachment</t>
  </si>
  <si>
    <t>E3T, Signed E3T, Signed FLGM, 
Signed Customer SOW</t>
  </si>
  <si>
    <t>New Request</t>
  </si>
  <si>
    <t>KRW</t>
  </si>
  <si>
    <t>Complete Invoicing</t>
  </si>
  <si>
    <t>Open</t>
  </si>
  <si>
    <t>Business justification for not using existing vendor?</t>
  </si>
  <si>
    <t>What services/deliverables will be provided by the supplier?</t>
  </si>
  <si>
    <t>Her, Il</t>
  </si>
  <si>
    <t>Non standard T&amp;C</t>
  </si>
  <si>
    <t>12 months</t>
  </si>
  <si>
    <t>Supplier's product or service name</t>
  </si>
  <si>
    <t>The reason why choosing this supplier.</t>
  </si>
  <si>
    <t>[Creating Vendor]</t>
  </si>
  <si>
    <t>인안나</t>
  </si>
  <si>
    <t>그룹장</t>
  </si>
  <si>
    <t>010-4496-0111</t>
  </si>
  <si>
    <t>anna@vinylc.com</t>
  </si>
  <si>
    <t xml:space="preserve">- The supplier that has implemented Shinhan Bank's MyAsset service
- So, this company well knows the customer's environment and disposition.
- The customer is highly satisfied with implemented current service
</t>
  </si>
  <si>
    <t>This company will join in the Shinhan Bank Mydata Service operation project.</t>
  </si>
  <si>
    <t>No concerns about the 3rd parties.</t>
  </si>
  <si>
    <t>Financial opinion request</t>
  </si>
  <si>
    <t>To</t>
  </si>
  <si>
    <t>Greeting</t>
  </si>
  <si>
    <t>Approval through</t>
  </si>
  <si>
    <t>Urgent?</t>
  </si>
  <si>
    <t>Summary</t>
  </si>
  <si>
    <t>OPE ID</t>
  </si>
  <si>
    <t>Bid due date</t>
  </si>
  <si>
    <t>SOAR date</t>
  </si>
  <si>
    <t>Font</t>
  </si>
  <si>
    <t>Calibri</t>
  </si>
  <si>
    <t>Tan, Sophia</t>
  </si>
  <si>
    <t>Sophia</t>
  </si>
  <si>
    <t>CC</t>
  </si>
  <si>
    <t>Lee, Eun Young; Korea SOAR; Kim, Jung Ahn;</t>
  </si>
  <si>
    <t>the OBR SOAR meeting</t>
  </si>
  <si>
    <t>Sorry for the urgent request.</t>
  </si>
  <si>
    <t>None</t>
  </si>
  <si>
    <t>Medium</t>
  </si>
  <si>
    <t>E3T 승인 메일</t>
    <phoneticPr fontId="13" type="noConversion"/>
  </si>
  <si>
    <t>안녕하세요. 신종민 매니저님, 모기진 매니저님</t>
    <phoneticPr fontId="13" type="noConversion"/>
  </si>
  <si>
    <t>(OPE-0013415142) Shinhan Bank Mydata operation 에 대한 SOAR 승인이 완료되어</t>
    <phoneticPr fontId="13" type="noConversion"/>
  </si>
  <si>
    <t xml:space="preserve">최종 E3T에 대한 승인 요청 드립니다. </t>
    <phoneticPr fontId="13" type="noConversion"/>
  </si>
  <si>
    <t>프로젝트 PM 이신 이계원 매니저님의 승인은 받은 상태입니다.</t>
    <phoneticPr fontId="13" type="noConversion"/>
  </si>
  <si>
    <t xml:space="preserve">참고하셔서 검토 및 승인 요청 드립니다. </t>
    <phoneticPr fontId="13" type="noConversion"/>
  </si>
  <si>
    <t xml:space="preserve">감사합니다. </t>
    <phoneticPr fontId="13" type="noConversion"/>
  </si>
  <si>
    <t>머니버스 화면 서비스 운영 관리</t>
    <phoneticPr fontId="13" type="noConversion"/>
  </si>
  <si>
    <t>버니버스 개선 과제 기획/디자인/퍼블리싱</t>
    <phoneticPr fontId="13" type="noConversion"/>
  </si>
  <si>
    <t>머니버스 개선 과제 통합 시나리오 작성</t>
    <phoneticPr fontId="13" type="noConversion"/>
  </si>
  <si>
    <t>머니버스 화면 UI/UX 기획</t>
    <phoneticPr fontId="13" type="noConversion"/>
  </si>
  <si>
    <t>머니버스 화면 퍼블리싱</t>
    <phoneticPr fontId="13" type="noConversion"/>
  </si>
  <si>
    <t>매월 100,000,000 원 정액 지급</t>
    <phoneticPr fontId="13" type="noConversion"/>
  </si>
  <si>
    <t>HPE Short Project description</t>
    <phoneticPr fontId="13" type="noConversion"/>
  </si>
  <si>
    <t xml:space="preserve">The scope of this project is to operate the Shinhan Bank's Mydata service and to make enhancement for the feature of Mydata service.
</t>
    <phoneticPr fontId="13" type="noConversion"/>
  </si>
  <si>
    <t>UI Service enhancement (Planning/Design/Publishing) for the Mydata service</t>
    <phoneticPr fontId="13" type="noConversion"/>
  </si>
  <si>
    <t>[GFDWM]</t>
    <phoneticPr fontId="13" type="noConversion"/>
  </si>
  <si>
    <t xml:space="preserve">- The supplier that has implemented Shinhan Bank's MyAsset service
- So, this company well knows the customer's environment and disposition.
- The customer is highly satisfied with implemented current service
</t>
    <phoneticPr fontId="13" type="noConversion"/>
  </si>
  <si>
    <r>
      <t>안녕하세요</t>
    </r>
    <r>
      <rPr>
        <sz val="10"/>
        <color theme="1"/>
        <rFont val="Calibri"/>
        <family val="2"/>
      </rPr>
      <t xml:space="preserve">. </t>
    </r>
    <r>
      <rPr>
        <sz val="10"/>
        <color theme="1"/>
        <rFont val="나눔고딕"/>
        <family val="3"/>
        <charset val="129"/>
      </rPr>
      <t>이승국</t>
    </r>
    <r>
      <rPr>
        <sz val="10"/>
        <color theme="1"/>
        <rFont val="Calibri"/>
        <family val="2"/>
      </rPr>
      <t xml:space="preserve"> </t>
    </r>
    <r>
      <rPr>
        <sz val="10"/>
        <color theme="1"/>
        <rFont val="나눔고딕"/>
        <family val="3"/>
        <charset val="129"/>
      </rPr>
      <t>매니저님</t>
    </r>
    <r>
      <rPr>
        <sz val="10"/>
        <color theme="1"/>
        <rFont val="Calibri"/>
        <family val="2"/>
      </rPr>
      <t xml:space="preserve">, </t>
    </r>
    <r>
      <rPr>
        <sz val="10"/>
        <color theme="1"/>
        <rFont val="나눔고딕"/>
        <family val="3"/>
        <charset val="129"/>
      </rPr>
      <t>박하영</t>
    </r>
    <r>
      <rPr>
        <sz val="10"/>
        <color theme="1"/>
        <rFont val="Calibri"/>
        <family val="2"/>
      </rPr>
      <t xml:space="preserve"> </t>
    </r>
    <r>
      <rPr>
        <sz val="10"/>
        <color theme="1"/>
        <rFont val="나눔고딕"/>
        <family val="3"/>
        <charset val="129"/>
      </rPr>
      <t>매니저님</t>
    </r>
    <r>
      <rPr>
        <sz val="10"/>
        <color theme="1"/>
        <rFont val="Calibri"/>
        <family val="2"/>
      </rPr>
      <t>.</t>
    </r>
  </si>
  <si>
    <r>
      <t xml:space="preserve">(OPE-0013415412) </t>
    </r>
    <r>
      <rPr>
        <sz val="10"/>
        <color theme="1"/>
        <rFont val="나눔고딕"/>
        <family val="3"/>
        <charset val="129"/>
      </rPr>
      <t>신한은행</t>
    </r>
    <r>
      <rPr>
        <sz val="10"/>
        <color theme="1"/>
        <rFont val="Calibri"/>
        <family val="2"/>
      </rPr>
      <t xml:space="preserve"> Mydata operation </t>
    </r>
    <r>
      <rPr>
        <sz val="10"/>
        <color theme="1"/>
        <rFont val="나눔고딕"/>
        <family val="3"/>
        <charset val="129"/>
      </rPr>
      <t>에</t>
    </r>
    <r>
      <rPr>
        <sz val="10"/>
        <color theme="1"/>
        <rFont val="Calibri"/>
        <family val="2"/>
      </rPr>
      <t xml:space="preserve"> </t>
    </r>
    <r>
      <rPr>
        <sz val="10"/>
        <color theme="1"/>
        <rFont val="나눔고딕"/>
        <family val="3"/>
        <charset val="129"/>
      </rPr>
      <t>대한</t>
    </r>
    <r>
      <rPr>
        <sz val="10"/>
        <color theme="1"/>
        <rFont val="Calibri"/>
        <family val="2"/>
      </rPr>
      <t xml:space="preserve"> Geo1 FULL SOAR meeting </t>
    </r>
    <r>
      <rPr>
        <sz val="10"/>
        <color theme="1"/>
        <rFont val="나눔고딕"/>
        <family val="3"/>
        <charset val="129"/>
      </rPr>
      <t>일정</t>
    </r>
    <r>
      <rPr>
        <sz val="10"/>
        <color theme="1"/>
        <rFont val="Calibri"/>
        <family val="2"/>
      </rPr>
      <t xml:space="preserve"> </t>
    </r>
    <r>
      <rPr>
        <sz val="10"/>
        <color theme="1"/>
        <rFont val="나눔고딕"/>
        <family val="3"/>
        <charset val="129"/>
      </rPr>
      <t>확정이</t>
    </r>
  </si>
  <si>
    <r>
      <t>필요하여</t>
    </r>
    <r>
      <rPr>
        <sz val="10"/>
        <color theme="1"/>
        <rFont val="Calibri"/>
        <family val="2"/>
      </rPr>
      <t xml:space="preserve"> </t>
    </r>
    <r>
      <rPr>
        <sz val="10"/>
        <color theme="1"/>
        <rFont val="나눔고딕"/>
        <family val="3"/>
        <charset val="129"/>
      </rPr>
      <t>메일을</t>
    </r>
    <r>
      <rPr>
        <sz val="10"/>
        <color theme="1"/>
        <rFont val="Calibri"/>
        <family val="2"/>
      </rPr>
      <t xml:space="preserve"> </t>
    </r>
    <r>
      <rPr>
        <sz val="10"/>
        <color theme="1"/>
        <rFont val="나눔고딕"/>
        <family val="3"/>
        <charset val="129"/>
      </rPr>
      <t>드립니다</t>
    </r>
    <r>
      <rPr>
        <sz val="10"/>
        <color theme="1"/>
        <rFont val="Calibri"/>
        <family val="2"/>
      </rPr>
      <t xml:space="preserve">. </t>
    </r>
  </si>
  <si>
    <r>
      <t xml:space="preserve">Deal </t>
    </r>
    <r>
      <rPr>
        <sz val="10"/>
        <color theme="1"/>
        <rFont val="나눔고딕"/>
        <family val="3"/>
        <charset val="129"/>
      </rPr>
      <t>내용에</t>
    </r>
    <r>
      <rPr>
        <sz val="10"/>
        <color theme="1"/>
        <rFont val="Calibri"/>
        <family val="2"/>
      </rPr>
      <t xml:space="preserve"> </t>
    </r>
    <r>
      <rPr>
        <sz val="10"/>
        <color theme="1"/>
        <rFont val="나눔고딕"/>
        <family val="3"/>
        <charset val="129"/>
      </rPr>
      <t>대해서</t>
    </r>
    <r>
      <rPr>
        <sz val="10"/>
        <color theme="1"/>
        <rFont val="Calibri"/>
        <family val="2"/>
      </rPr>
      <t xml:space="preserve"> </t>
    </r>
    <r>
      <rPr>
        <sz val="10"/>
        <color theme="1"/>
        <rFont val="나눔고딕"/>
        <family val="3"/>
        <charset val="129"/>
      </rPr>
      <t>요약</t>
    </r>
    <r>
      <rPr>
        <sz val="10"/>
        <color theme="1"/>
        <rFont val="Calibri"/>
        <family val="2"/>
      </rPr>
      <t xml:space="preserve"> </t>
    </r>
    <r>
      <rPr>
        <sz val="10"/>
        <color theme="1"/>
        <rFont val="나눔고딕"/>
        <family val="3"/>
        <charset val="129"/>
      </rPr>
      <t>드리면</t>
    </r>
    <r>
      <rPr>
        <sz val="10"/>
        <color theme="1"/>
        <rFont val="Calibri"/>
        <family val="2"/>
      </rPr>
      <t xml:space="preserve">, </t>
    </r>
    <r>
      <rPr>
        <sz val="10"/>
        <color theme="1"/>
        <rFont val="나눔고딕"/>
        <family val="3"/>
        <charset val="129"/>
      </rPr>
      <t>다음과</t>
    </r>
    <r>
      <rPr>
        <sz val="10"/>
        <color theme="1"/>
        <rFont val="Calibri"/>
        <family val="2"/>
      </rPr>
      <t xml:space="preserve"> </t>
    </r>
    <r>
      <rPr>
        <sz val="10"/>
        <color theme="1"/>
        <rFont val="나눔고딕"/>
        <family val="3"/>
        <charset val="129"/>
      </rPr>
      <t>같습니다</t>
    </r>
    <r>
      <rPr>
        <sz val="10"/>
        <color theme="1"/>
        <rFont val="Calibri"/>
        <family val="2"/>
      </rPr>
      <t>.</t>
    </r>
  </si>
  <si>
    <r>
      <t>고객</t>
    </r>
    <r>
      <rPr>
        <sz val="10"/>
        <color theme="1"/>
        <rFont val="Calibri"/>
        <family val="2"/>
      </rPr>
      <t xml:space="preserve">: </t>
    </r>
    <r>
      <rPr>
        <sz val="10"/>
        <color theme="1"/>
        <rFont val="나눔고딕"/>
        <family val="3"/>
        <charset val="129"/>
      </rPr>
      <t>신한은행</t>
    </r>
  </si>
  <si>
    <r>
      <t>내용</t>
    </r>
    <r>
      <rPr>
        <sz val="10"/>
        <color theme="1"/>
        <rFont val="Calibri"/>
        <family val="2"/>
      </rPr>
      <t xml:space="preserve">: Mydata </t>
    </r>
    <r>
      <rPr>
        <sz val="10"/>
        <color theme="1"/>
        <rFont val="나눔고딕"/>
        <family val="3"/>
        <charset val="129"/>
      </rPr>
      <t>서비스</t>
    </r>
    <r>
      <rPr>
        <sz val="10"/>
        <color theme="1"/>
        <rFont val="Calibri"/>
        <family val="2"/>
      </rPr>
      <t xml:space="preserve"> </t>
    </r>
    <r>
      <rPr>
        <sz val="10"/>
        <color theme="1"/>
        <rFont val="나눔고딕"/>
        <family val="3"/>
        <charset val="129"/>
      </rPr>
      <t>운영</t>
    </r>
    <r>
      <rPr>
        <sz val="10"/>
        <color theme="1"/>
        <rFont val="Calibri"/>
        <family val="2"/>
      </rPr>
      <t xml:space="preserve"> + </t>
    </r>
    <r>
      <rPr>
        <sz val="10"/>
        <color theme="1"/>
        <rFont val="나눔고딕"/>
        <family val="3"/>
        <charset val="129"/>
      </rPr>
      <t>기능</t>
    </r>
    <r>
      <rPr>
        <sz val="10"/>
        <color theme="1"/>
        <rFont val="Calibri"/>
        <family val="2"/>
      </rPr>
      <t xml:space="preserve"> </t>
    </r>
    <r>
      <rPr>
        <sz val="10"/>
        <color theme="1"/>
        <rFont val="나눔고딕"/>
        <family val="3"/>
        <charset val="129"/>
      </rPr>
      <t>고도화</t>
    </r>
  </si>
  <si>
    <r>
      <t>기간</t>
    </r>
    <r>
      <rPr>
        <sz val="10"/>
        <color theme="1"/>
        <rFont val="Calibri"/>
        <family val="2"/>
      </rPr>
      <t>: 12</t>
    </r>
    <r>
      <rPr>
        <sz val="10"/>
        <color theme="1"/>
        <rFont val="나눔고딕"/>
        <family val="3"/>
        <charset val="129"/>
      </rPr>
      <t>개월</t>
    </r>
  </si>
  <si>
    <r>
      <t>HPE</t>
    </r>
    <r>
      <rPr>
        <sz val="10"/>
        <color theme="1"/>
        <rFont val="나눔고딕"/>
        <family val="3"/>
        <charset val="129"/>
      </rPr>
      <t>인원</t>
    </r>
    <r>
      <rPr>
        <sz val="10"/>
        <color theme="1"/>
        <rFont val="Calibri"/>
        <family val="2"/>
      </rPr>
      <t>: 2</t>
    </r>
    <r>
      <rPr>
        <sz val="10"/>
        <color theme="1"/>
        <rFont val="나눔고딕"/>
        <family val="3"/>
        <charset val="129"/>
      </rPr>
      <t>명</t>
    </r>
  </si>
  <si>
    <r>
      <t>TCV: 50.9</t>
    </r>
    <r>
      <rPr>
        <sz val="10"/>
        <color theme="1"/>
        <rFont val="나눔고딕"/>
        <family val="3"/>
        <charset val="129"/>
      </rPr>
      <t>억</t>
    </r>
    <r>
      <rPr>
        <sz val="10"/>
        <color theme="1"/>
        <rFont val="Calibri"/>
        <family val="2"/>
      </rPr>
      <t xml:space="preserve"> (USD 4.22 M)</t>
    </r>
  </si>
  <si>
    <t>FLGM: 8.6% (EGM 25%)</t>
  </si>
  <si>
    <t>Risk: 3%</t>
  </si>
  <si>
    <r>
      <t xml:space="preserve">Geo2 APAC SOAR meeting </t>
    </r>
    <r>
      <rPr>
        <sz val="10"/>
        <color theme="1"/>
        <rFont val="나눔고딕"/>
        <family val="3"/>
        <charset val="129"/>
      </rPr>
      <t>은</t>
    </r>
    <r>
      <rPr>
        <sz val="10"/>
        <color theme="1"/>
        <rFont val="Calibri"/>
        <family val="2"/>
      </rPr>
      <t xml:space="preserve"> 3</t>
    </r>
    <r>
      <rPr>
        <sz val="10"/>
        <color theme="1"/>
        <rFont val="나눔고딕"/>
        <family val="3"/>
        <charset val="129"/>
      </rPr>
      <t>월</t>
    </r>
    <r>
      <rPr>
        <sz val="10"/>
        <color theme="1"/>
        <rFont val="Calibri"/>
        <family val="2"/>
      </rPr>
      <t xml:space="preserve"> 24</t>
    </r>
    <r>
      <rPr>
        <sz val="10"/>
        <color theme="1"/>
        <rFont val="나눔고딕"/>
        <family val="3"/>
        <charset val="129"/>
      </rPr>
      <t>일</t>
    </r>
    <r>
      <rPr>
        <sz val="10"/>
        <color theme="1"/>
        <rFont val="Calibri"/>
        <family val="2"/>
      </rPr>
      <t xml:space="preserve"> </t>
    </r>
    <r>
      <rPr>
        <sz val="10"/>
        <color theme="1"/>
        <rFont val="나눔고딕"/>
        <family val="3"/>
        <charset val="129"/>
      </rPr>
      <t>오후</t>
    </r>
    <r>
      <rPr>
        <sz val="10"/>
        <color theme="1"/>
        <rFont val="Calibri"/>
        <family val="2"/>
      </rPr>
      <t xml:space="preserve"> 16</t>
    </r>
    <r>
      <rPr>
        <sz val="10"/>
        <color theme="1"/>
        <rFont val="나눔고딕"/>
        <family val="3"/>
        <charset val="129"/>
      </rPr>
      <t>시</t>
    </r>
    <r>
      <rPr>
        <sz val="10"/>
        <color theme="1"/>
        <rFont val="Calibri"/>
        <family val="2"/>
      </rPr>
      <t xml:space="preserve"> </t>
    </r>
    <r>
      <rPr>
        <sz val="10"/>
        <color theme="1"/>
        <rFont val="나눔고딕"/>
        <family val="3"/>
        <charset val="129"/>
      </rPr>
      <t>예정이며</t>
    </r>
    <r>
      <rPr>
        <sz val="10"/>
        <color theme="1"/>
        <rFont val="Calibri"/>
        <family val="2"/>
      </rPr>
      <t>,</t>
    </r>
  </si>
  <si>
    <r>
      <t xml:space="preserve">Geo1 SOAR meeting </t>
    </r>
    <r>
      <rPr>
        <sz val="10"/>
        <color theme="1"/>
        <rFont val="나눔고딕"/>
        <family val="3"/>
        <charset val="129"/>
      </rPr>
      <t>은</t>
    </r>
    <r>
      <rPr>
        <sz val="10"/>
        <color theme="1"/>
        <rFont val="Calibri"/>
        <family val="2"/>
      </rPr>
      <t xml:space="preserve"> </t>
    </r>
    <r>
      <rPr>
        <sz val="10"/>
        <color theme="1"/>
        <rFont val="나눔고딕"/>
        <family val="3"/>
        <charset val="129"/>
      </rPr>
      <t>두</t>
    </r>
    <r>
      <rPr>
        <sz val="10"/>
        <color theme="1"/>
        <rFont val="Calibri"/>
        <family val="2"/>
      </rPr>
      <t xml:space="preserve"> </t>
    </r>
    <r>
      <rPr>
        <sz val="10"/>
        <color theme="1"/>
        <rFont val="나눔고딕"/>
        <family val="3"/>
        <charset val="129"/>
      </rPr>
      <t>분</t>
    </r>
    <r>
      <rPr>
        <sz val="10"/>
        <color theme="1"/>
        <rFont val="Calibri"/>
        <family val="2"/>
      </rPr>
      <t xml:space="preserve"> </t>
    </r>
    <r>
      <rPr>
        <sz val="10"/>
        <color theme="1"/>
        <rFont val="나눔고딕"/>
        <family val="3"/>
        <charset val="129"/>
      </rPr>
      <t>일정</t>
    </r>
    <r>
      <rPr>
        <sz val="10"/>
        <color theme="1"/>
        <rFont val="Calibri"/>
        <family val="2"/>
      </rPr>
      <t xml:space="preserve"> </t>
    </r>
    <r>
      <rPr>
        <sz val="10"/>
        <color theme="1"/>
        <rFont val="나눔고딕"/>
        <family val="3"/>
        <charset val="129"/>
      </rPr>
      <t>상</t>
    </r>
    <r>
      <rPr>
        <sz val="10"/>
        <color theme="1"/>
        <rFont val="Calibri"/>
        <family val="2"/>
      </rPr>
      <t xml:space="preserve"> </t>
    </r>
    <r>
      <rPr>
        <sz val="10"/>
        <color theme="1"/>
        <rFont val="나눔고딕"/>
        <family val="3"/>
        <charset val="129"/>
      </rPr>
      <t>다음</t>
    </r>
    <r>
      <rPr>
        <sz val="10"/>
        <color theme="1"/>
        <rFont val="Calibri"/>
        <family val="2"/>
      </rPr>
      <t xml:space="preserve"> 2</t>
    </r>
    <r>
      <rPr>
        <sz val="10"/>
        <color theme="1"/>
        <rFont val="나눔고딕"/>
        <family val="3"/>
        <charset val="129"/>
      </rPr>
      <t>가지</t>
    </r>
    <r>
      <rPr>
        <sz val="10"/>
        <color theme="1"/>
        <rFont val="Calibri"/>
        <family val="2"/>
      </rPr>
      <t xml:space="preserve"> </t>
    </r>
    <r>
      <rPr>
        <sz val="10"/>
        <color theme="1"/>
        <rFont val="나눔고딕"/>
        <family val="3"/>
        <charset val="129"/>
      </rPr>
      <t>일정이</t>
    </r>
    <r>
      <rPr>
        <sz val="10"/>
        <color theme="1"/>
        <rFont val="Calibri"/>
        <family val="2"/>
      </rPr>
      <t xml:space="preserve"> </t>
    </r>
    <r>
      <rPr>
        <sz val="10"/>
        <color theme="1"/>
        <rFont val="나눔고딕"/>
        <family val="3"/>
        <charset val="129"/>
      </rPr>
      <t>가능한</t>
    </r>
    <r>
      <rPr>
        <sz val="10"/>
        <color theme="1"/>
        <rFont val="Calibri"/>
        <family val="2"/>
      </rPr>
      <t xml:space="preserve"> </t>
    </r>
    <r>
      <rPr>
        <sz val="10"/>
        <color theme="1"/>
        <rFont val="나눔고딕"/>
        <family val="3"/>
        <charset val="129"/>
      </rPr>
      <t>것으로</t>
    </r>
    <r>
      <rPr>
        <sz val="10"/>
        <color theme="1"/>
        <rFont val="Calibri"/>
        <family val="2"/>
      </rPr>
      <t xml:space="preserve"> </t>
    </r>
    <r>
      <rPr>
        <sz val="10"/>
        <color theme="1"/>
        <rFont val="나눔고딕"/>
        <family val="3"/>
        <charset val="129"/>
      </rPr>
      <t>들었습니다</t>
    </r>
    <r>
      <rPr>
        <sz val="10"/>
        <color theme="1"/>
        <rFont val="Calibri"/>
        <family val="2"/>
      </rPr>
      <t xml:space="preserve">. </t>
    </r>
  </si>
  <si>
    <r>
      <t>3/24 (</t>
    </r>
    <r>
      <rPr>
        <sz val="10"/>
        <color theme="1"/>
        <rFont val="나눔고딕"/>
        <family val="3"/>
        <charset val="129"/>
      </rPr>
      <t>목</t>
    </r>
    <r>
      <rPr>
        <sz val="10"/>
        <color theme="1"/>
        <rFont val="Calibri"/>
        <family val="2"/>
      </rPr>
      <t>): 09:00 ~ 10:00</t>
    </r>
  </si>
  <si>
    <r>
      <t>3/24 (</t>
    </r>
    <r>
      <rPr>
        <sz val="10"/>
        <color theme="1"/>
        <rFont val="나눔고딕"/>
        <family val="3"/>
        <charset val="129"/>
      </rPr>
      <t>목</t>
    </r>
    <r>
      <rPr>
        <sz val="10"/>
        <color theme="1"/>
        <rFont val="Calibri"/>
        <family val="2"/>
      </rPr>
      <t>): 13:00 ~ 14:00</t>
    </r>
  </si>
  <si>
    <r>
      <t>위의</t>
    </r>
    <r>
      <rPr>
        <sz val="10"/>
        <color theme="1"/>
        <rFont val="Calibri"/>
        <family val="2"/>
      </rPr>
      <t xml:space="preserve"> 2</t>
    </r>
    <r>
      <rPr>
        <sz val="10"/>
        <color theme="1"/>
        <rFont val="나눔고딕"/>
        <family val="3"/>
        <charset val="129"/>
      </rPr>
      <t>가지</t>
    </r>
    <r>
      <rPr>
        <sz val="10"/>
        <color theme="1"/>
        <rFont val="Calibri"/>
        <family val="2"/>
      </rPr>
      <t xml:space="preserve"> </t>
    </r>
    <r>
      <rPr>
        <sz val="10"/>
        <color theme="1"/>
        <rFont val="나눔고딕"/>
        <family val="3"/>
        <charset val="129"/>
      </rPr>
      <t>일정</t>
    </r>
    <r>
      <rPr>
        <sz val="10"/>
        <color theme="1"/>
        <rFont val="Calibri"/>
        <family val="2"/>
      </rPr>
      <t xml:space="preserve"> </t>
    </r>
    <r>
      <rPr>
        <sz val="10"/>
        <color theme="1"/>
        <rFont val="나눔고딕"/>
        <family val="3"/>
        <charset val="129"/>
      </rPr>
      <t>중</t>
    </r>
    <r>
      <rPr>
        <sz val="10"/>
        <color theme="1"/>
        <rFont val="Calibri"/>
        <family val="2"/>
      </rPr>
      <t xml:space="preserve"> </t>
    </r>
    <r>
      <rPr>
        <sz val="10"/>
        <color theme="1"/>
        <rFont val="나눔고딕"/>
        <family val="3"/>
        <charset val="129"/>
      </rPr>
      <t>가능한</t>
    </r>
    <r>
      <rPr>
        <sz val="10"/>
        <color theme="1"/>
        <rFont val="Calibri"/>
        <family val="2"/>
      </rPr>
      <t xml:space="preserve"> </t>
    </r>
    <r>
      <rPr>
        <sz val="10"/>
        <color theme="1"/>
        <rFont val="나눔고딕"/>
        <family val="3"/>
        <charset val="129"/>
      </rPr>
      <t>시간을</t>
    </r>
    <r>
      <rPr>
        <sz val="10"/>
        <color theme="1"/>
        <rFont val="Calibri"/>
        <family val="2"/>
      </rPr>
      <t xml:space="preserve"> </t>
    </r>
    <r>
      <rPr>
        <sz val="10"/>
        <color theme="1"/>
        <rFont val="나눔고딕"/>
        <family val="3"/>
        <charset val="129"/>
      </rPr>
      <t>알려</t>
    </r>
    <r>
      <rPr>
        <sz val="10"/>
        <color theme="1"/>
        <rFont val="Calibri"/>
        <family val="2"/>
      </rPr>
      <t xml:space="preserve"> </t>
    </r>
    <r>
      <rPr>
        <sz val="10"/>
        <color theme="1"/>
        <rFont val="나눔고딕"/>
        <family val="3"/>
        <charset val="129"/>
      </rPr>
      <t>주시면</t>
    </r>
    <r>
      <rPr>
        <sz val="10"/>
        <color theme="1"/>
        <rFont val="Calibri"/>
        <family val="2"/>
      </rPr>
      <t xml:space="preserve">, </t>
    </r>
    <r>
      <rPr>
        <sz val="10"/>
        <color theme="1"/>
        <rFont val="나눔고딕"/>
        <family val="3"/>
        <charset val="129"/>
      </rPr>
      <t>일정을</t>
    </r>
    <r>
      <rPr>
        <sz val="10"/>
        <color theme="1"/>
        <rFont val="Calibri"/>
        <family val="2"/>
      </rPr>
      <t xml:space="preserve"> </t>
    </r>
    <r>
      <rPr>
        <sz val="10"/>
        <color theme="1"/>
        <rFont val="나눔고딕"/>
        <family val="3"/>
        <charset val="129"/>
      </rPr>
      <t>확정하여</t>
    </r>
    <r>
      <rPr>
        <sz val="10"/>
        <color theme="1"/>
        <rFont val="Calibri"/>
        <family val="2"/>
      </rPr>
      <t xml:space="preserve"> </t>
    </r>
    <r>
      <rPr>
        <sz val="10"/>
        <color theme="1"/>
        <rFont val="나눔고딕"/>
        <family val="3"/>
        <charset val="129"/>
      </rPr>
      <t>다시</t>
    </r>
    <r>
      <rPr>
        <sz val="10"/>
        <color theme="1"/>
        <rFont val="Calibri"/>
        <family val="2"/>
      </rPr>
      <t xml:space="preserve"> </t>
    </r>
    <r>
      <rPr>
        <sz val="10"/>
        <color theme="1"/>
        <rFont val="나눔고딕"/>
        <family val="3"/>
        <charset val="129"/>
      </rPr>
      <t>말씀</t>
    </r>
    <r>
      <rPr>
        <sz val="10"/>
        <color theme="1"/>
        <rFont val="Calibri"/>
        <family val="2"/>
      </rPr>
      <t xml:space="preserve"> </t>
    </r>
    <r>
      <rPr>
        <sz val="10"/>
        <color theme="1"/>
        <rFont val="나눔고딕"/>
        <family val="3"/>
        <charset val="129"/>
      </rPr>
      <t>드리도록</t>
    </r>
    <r>
      <rPr>
        <sz val="10"/>
        <color theme="1"/>
        <rFont val="Calibri"/>
        <family val="2"/>
      </rPr>
      <t xml:space="preserve"> </t>
    </r>
    <r>
      <rPr>
        <sz val="10"/>
        <color theme="1"/>
        <rFont val="나눔고딕"/>
        <family val="3"/>
        <charset val="129"/>
      </rPr>
      <t>하겠습니다</t>
    </r>
    <r>
      <rPr>
        <sz val="10"/>
        <color theme="1"/>
        <rFont val="Calibri"/>
        <family val="2"/>
      </rPr>
      <t>.</t>
    </r>
  </si>
  <si>
    <r>
      <t>일정에</t>
    </r>
    <r>
      <rPr>
        <sz val="10"/>
        <color theme="1"/>
        <rFont val="Calibri"/>
        <family val="2"/>
      </rPr>
      <t xml:space="preserve"> </t>
    </r>
    <r>
      <rPr>
        <sz val="10"/>
        <color theme="1"/>
        <rFont val="나눔고딕"/>
        <family val="3"/>
        <charset val="129"/>
      </rPr>
      <t>대한</t>
    </r>
    <r>
      <rPr>
        <sz val="10"/>
        <color theme="1"/>
        <rFont val="Calibri"/>
        <family val="2"/>
      </rPr>
      <t xml:space="preserve"> </t>
    </r>
    <r>
      <rPr>
        <sz val="10"/>
        <color theme="1"/>
        <rFont val="나눔고딕"/>
        <family val="3"/>
        <charset val="129"/>
      </rPr>
      <t>의견</t>
    </r>
    <r>
      <rPr>
        <sz val="10"/>
        <color theme="1"/>
        <rFont val="Calibri"/>
        <family val="2"/>
      </rPr>
      <t xml:space="preserve"> </t>
    </r>
    <r>
      <rPr>
        <sz val="10"/>
        <color theme="1"/>
        <rFont val="나눔고딕"/>
        <family val="3"/>
        <charset val="129"/>
      </rPr>
      <t>요청</t>
    </r>
    <r>
      <rPr>
        <sz val="10"/>
        <color theme="1"/>
        <rFont val="Calibri"/>
        <family val="2"/>
      </rPr>
      <t xml:space="preserve"> </t>
    </r>
    <r>
      <rPr>
        <sz val="10"/>
        <color theme="1"/>
        <rFont val="나눔고딕"/>
        <family val="3"/>
        <charset val="129"/>
      </rPr>
      <t>드립니다</t>
    </r>
    <r>
      <rPr>
        <sz val="10"/>
        <color theme="1"/>
        <rFont val="Calibri"/>
        <family val="2"/>
      </rPr>
      <t>.</t>
    </r>
  </si>
  <si>
    <r>
      <t>감사합니다</t>
    </r>
    <r>
      <rPr>
        <sz val="10"/>
        <color theme="1"/>
        <rFont val="Calibri"/>
        <family val="2"/>
      </rPr>
      <t xml:space="preserve">. </t>
    </r>
  </si>
  <si>
    <t>Manager</t>
    <phoneticPr fontId="13" type="noConversion"/>
  </si>
  <si>
    <t>FSI</t>
    <phoneticPr fontId="13" type="noConversion"/>
  </si>
  <si>
    <t>LSR</t>
  </si>
  <si>
    <t>LSR (Lifetime Service Revenue) in SFDC</t>
  </si>
  <si>
    <t>75k 이하</t>
  </si>
  <si>
    <t>75k ~ &lt;250k
(3P 제품 제외한 금액이 250k 이하)</t>
  </si>
  <si>
    <t>250k ~ 500k
(3P 제품을 제외한 금액이 250k 이상)</t>
  </si>
  <si>
    <t>500k ~ &lt;10M</t>
  </si>
  <si>
    <t>Middle</t>
  </si>
  <si>
    <t>APS FLGM</t>
  </si>
  <si>
    <t>All</t>
  </si>
  <si>
    <t>Approval Level</t>
  </si>
  <si>
    <t>Geo 1</t>
  </si>
  <si>
    <t>Geo 2
(Geo 1)</t>
  </si>
  <si>
    <t>WW</t>
  </si>
  <si>
    <t>Geo 2</t>
  </si>
  <si>
    <t>How to</t>
  </si>
  <si>
    <t>지정된 문서를 포함하여 SFDC 로 처리</t>
  </si>
  <si>
    <t>LITE OBR
(SFDC Online)</t>
  </si>
  <si>
    <t>FULL OBR 
(Meeting)</t>
  </si>
  <si>
    <t>Advisory_Tool.xlsm - Outcome Lite or Full</t>
  </si>
  <si>
    <t>O</t>
  </si>
  <si>
    <t>Waiver - Non-binding/Re-Approval/SC</t>
  </si>
  <si>
    <t>Follow waiver docs - minimum docs than Lite or Full</t>
  </si>
  <si>
    <r>
      <t xml:space="preserve">Credit Check Approval </t>
    </r>
    <r>
      <rPr>
        <b/>
        <i/>
        <sz val="9"/>
        <color theme="1"/>
        <rFont val="맑은 고딕"/>
        <family val="3"/>
        <charset val="129"/>
      </rPr>
      <t>(Sales Rep.)</t>
    </r>
  </si>
  <si>
    <t>E3T.xlsm</t>
  </si>
  <si>
    <t>Risk Log.xlsx</t>
  </si>
  <si>
    <t>3P Details.pptx</t>
  </si>
  <si>
    <t>3P 견적서</t>
  </si>
  <si>
    <t>Flow-down 메일</t>
  </si>
  <si>
    <t>FLGM justification</t>
  </si>
  <si>
    <t>Delivery Opinion</t>
  </si>
  <si>
    <t>RFP</t>
  </si>
  <si>
    <t>HPE SOW.pptx</t>
  </si>
  <si>
    <t>O</t>
    <phoneticPr fontId="20" type="noConversion"/>
  </si>
  <si>
    <t>SA opinion.docx</t>
  </si>
  <si>
    <t>DA - briefing deck.pptx</t>
  </si>
  <si>
    <t>Finance Opinion</t>
  </si>
  <si>
    <t>Gross vs Net Check list.pdf</t>
  </si>
  <si>
    <r>
      <t xml:space="preserve">Legal Opinion for </t>
    </r>
    <r>
      <rPr>
        <b/>
        <sz val="9"/>
        <color rgb="FFFF0000"/>
        <rFont val="맑은 고딕"/>
        <family val="3"/>
        <charset val="129"/>
      </rPr>
      <t>non-standard T&amp;Cs</t>
    </r>
  </si>
  <si>
    <r>
      <rPr>
        <b/>
        <sz val="9"/>
        <rFont val="맑은 고딕"/>
        <family val="3"/>
        <charset val="129"/>
      </rPr>
      <t xml:space="preserve">FAP(NSP) Approval for </t>
    </r>
    <r>
      <rPr>
        <b/>
        <sz val="9"/>
        <color rgb="FFFF0000"/>
        <rFont val="맑은 고딕"/>
        <family val="3"/>
        <charset val="129"/>
      </rPr>
      <t>non-standard T&amp;Cs</t>
    </r>
  </si>
  <si>
    <t>FAP(NSP) requirement review with APS Finance</t>
  </si>
  <si>
    <t>Done by OC</t>
  </si>
  <si>
    <t>OBR Execute Summary.pptx</t>
  </si>
  <si>
    <t>Area</t>
  </si>
  <si>
    <t>Level 1 (G1)</t>
  </si>
  <si>
    <t>Level 2 (G2)</t>
  </si>
  <si>
    <t>Level 3 (WW)</t>
  </si>
  <si>
    <t>Financial Guardrails</t>
  </si>
  <si>
    <t>LSR (1)</t>
  </si>
  <si>
    <t>As per Financial Guardrails (refer to above table)</t>
  </si>
  <si>
    <t>FLGM (1)</t>
  </si>
  <si>
    <t>Non-Financial Guardrails</t>
  </si>
  <si>
    <t>Multi Geo</t>
  </si>
  <si>
    <t>single Geo only</t>
  </si>
  <si>
    <t>yes</t>
  </si>
  <si>
    <t>Risk Rating (2)</t>
  </si>
  <si>
    <t>low or medium</t>
  </si>
  <si>
    <t>high</t>
  </si>
  <si>
    <t>very high</t>
  </si>
  <si>
    <t>Special Labour Investment required (3)</t>
  </si>
  <si>
    <t>Employee transfer</t>
  </si>
  <si>
    <t>Asset / Capital Transfer (4)</t>
  </si>
  <si>
    <t>Acquisitions</t>
  </si>
  <si>
    <t xml:space="preserve">3PP PL QV/QW (5) </t>
  </si>
  <si>
    <r>
      <t xml:space="preserve">(1) Revenue and margin thresholds are listed in Financial Guardrails document on the </t>
    </r>
    <r>
      <rPr>
        <b/>
        <i/>
        <sz val="11"/>
        <color rgb="FF000000"/>
        <rFont val="MetricHPE Medium"/>
        <family val="2"/>
      </rPr>
      <t>WW SOAR SharePoint</t>
    </r>
  </si>
  <si>
    <t>(2) Refer to Determination of Overall Program Risk Rating for determination of overall risk rating.</t>
  </si>
  <si>
    <t>(3) Special Labour Investment is defined as delivery effort being spend without generating revenue or margin to the organization for none HPE Pointnext organizations or without being properly quoted.</t>
  </si>
  <si>
    <t>(4) Capital: = is an investment or purchase that creates an asset (physical or intangible) that is "capitalized"* on the HPE balance sheet.
In addition, it also includes purchases not directly "capitalized" on the HPE balance sheet, but with depreciation billed directly back to HPE. All HPE deals with CAPEX require WW approval.</t>
  </si>
  <si>
    <r>
      <t>(5) 3</t>
    </r>
    <r>
      <rPr>
        <vertAlign val="superscript"/>
        <sz val="11"/>
        <color rgb="FF000000"/>
        <rFont val="MetricHPE Medium"/>
        <family val="2"/>
      </rPr>
      <t>rd</t>
    </r>
    <r>
      <rPr>
        <sz val="11"/>
        <color rgb="FF000000"/>
        <rFont val="MetricHPE Medium"/>
        <family val="2"/>
      </rPr>
      <t xml:space="preserve"> Party HW or SW is not on the approved 3PP list; Deal exceeds the maximum 80% of 3P HW and SW and minimum of 20% of Pointnext Services relative to overall HPE Pointnext deal value.  Not applicable for non-binding deals.</t>
    </r>
  </si>
  <si>
    <t>NSP Approval</t>
  </si>
  <si>
    <t>Individual Contract</t>
  </si>
  <si>
    <t>Deal Description</t>
  </si>
  <si>
    <t>TCV (USD)</t>
  </si>
  <si>
    <t>TCV (KRW)</t>
  </si>
  <si>
    <t>Project period</t>
  </si>
  <si>
    <t>Country Sales Finance Lead</t>
  </si>
  <si>
    <t>6. Warranty Commitment on HPE Branded &amp; 3P Products</t>
  </si>
  <si>
    <t>7. Penalties - LD's, SLA Penalty, etc.</t>
  </si>
  <si>
    <t>13. Non-Std. or Extended Payment Terms</t>
  </si>
  <si>
    <t>14a. Non-Std. Cash Flow (exclude support &amp; Maintenance)</t>
  </si>
  <si>
    <t>16. Prepayment to vendors</t>
  </si>
  <si>
    <t>Authorization Category</t>
  </si>
  <si>
    <t>Y/N</t>
  </si>
  <si>
    <t>• No transfer of pre-existing IPR.
• Only the ownership and IPR of the newly created deliverables will be transferred under this contract</t>
  </si>
  <si>
    <t>Business Justification</t>
  </si>
  <si>
    <t>• Only the ownership and IPR of the newly created deliverables will be transferred under this contract
• The main scope is to operate the customer's web site and if there are any new deliverables that is just enhancement of existing web site and it's features.
      =&gt; Bid team will get the IP approval with this fact.</t>
  </si>
  <si>
    <t>Requestor Name</t>
  </si>
  <si>
    <t>Request Date</t>
  </si>
  <si>
    <t>Engagement/Deal Description</t>
  </si>
  <si>
    <t>Legal Risk</t>
  </si>
  <si>
    <t>Financial Risk</t>
  </si>
  <si>
    <t>Delivery Risk</t>
  </si>
  <si>
    <t>Risk Justification</t>
  </si>
  <si>
    <t>Supporting Documents</t>
  </si>
  <si>
    <t>•There is a statement about the 1 year warranty for the failure in the contract</t>
  </si>
  <si>
    <t>14b. Non-Std. Cash Flow (support &amp; Maintenance)</t>
  </si>
  <si>
    <t>Low</t>
  </si>
  <si>
    <t xml:space="preserve">•Payment Schedule
   - Customer: M3(100%)
   - 3P Partner(3MSystmes): M1(40%), M3(60%)
</t>
  </si>
  <si>
    <t>•HPE decided to commit prepayment to 3MSystems because 3MSystems requested and Customer's payment will be after 2 months of prepayment.</t>
  </si>
  <si>
    <t>•The scope does not include the development or implementation so, this statement won't apply to the deliverables of this project.
•But the customer did not remove this statement because this condition is included in the customer's standard contract.</t>
  </si>
  <si>
    <t>No</t>
    <phoneticPr fontId="13" type="noConversion"/>
  </si>
  <si>
    <t>•Delay in submission of delivarable or final inspection date = TCV * 3.0/1000 per # of delayed days
•Total liquidated damages are capped at 1/12 of TCV</t>
    <phoneticPr fontId="13" type="noConversion"/>
  </si>
  <si>
    <t>•Limitation of liability is capped at 100% of TCV</t>
    <phoneticPr fontId="13" type="noConversion"/>
  </si>
  <si>
    <t xml:space="preserve">• HPE is required to submit formal commitment memorandum to assure that HPE will take responsibilities for executing project.
    - Performance (10% of TCV) – HPE will pay 10% of TCV if HPE breaches and/or fails 
                                                        to perform the contract.
 </t>
    <phoneticPr fontId="13" type="noConversion"/>
  </si>
  <si>
    <t xml:space="preserve">•This is a maintenance contract with subscription renewal and HPE and 3P have already assigned resources for this contract.
•There is no possibility that HPE cannot execute this project.
</t>
    <phoneticPr fontId="13" type="noConversion"/>
  </si>
  <si>
    <t>HPE 표준: 1M 이하 or TCV or 12개월 반복 요금?</t>
    <phoneticPr fontId="13" type="noConversion"/>
  </si>
  <si>
    <t>** 75K 이하 15% 미만 L2 PN GM (이승국 전무님) 승인, 15% 이상 L1 A&amp;PS Biz Mgr (신종민 상무님) 승인</t>
    <phoneticPr fontId="13" type="noConversion"/>
  </si>
  <si>
    <t>17% 이상</t>
    <phoneticPr fontId="13" type="noConversion"/>
  </si>
  <si>
    <t>15% ~ 17%</t>
    <phoneticPr fontId="13" type="noConversion"/>
  </si>
  <si>
    <t>15% 미만</t>
    <phoneticPr fontId="13" type="noConversion"/>
  </si>
  <si>
    <t>No</t>
    <phoneticPr fontId="13" type="noConversion"/>
  </si>
  <si>
    <t>Kwon, Hyun Jin</t>
    <phoneticPr fontId="13" type="noConversion"/>
  </si>
  <si>
    <t>Kim, Jung Ahn</t>
    <phoneticPr fontId="13" type="noConversion"/>
  </si>
  <si>
    <t>Assumptions</t>
    <phoneticPr fontId="13" type="noConversion"/>
  </si>
  <si>
    <t>프로젝트 영문</t>
    <phoneticPr fontId="13" type="noConversion"/>
  </si>
  <si>
    <t>프로젝트 개요</t>
    <phoneticPr fontId="13" type="noConversion"/>
  </si>
  <si>
    <t>[Delivery Resource List]</t>
    <phoneticPr fontId="13" type="noConversion"/>
  </si>
  <si>
    <t>Name</t>
    <phoneticPr fontId="13" type="noConversion"/>
  </si>
  <si>
    <t>Phone</t>
    <phoneticPr fontId="13" type="noConversion"/>
  </si>
  <si>
    <t>Mail</t>
    <phoneticPr fontId="13" type="noConversion"/>
  </si>
  <si>
    <t>Chung, Sung Wook</t>
    <phoneticPr fontId="13" type="noConversion"/>
  </si>
  <si>
    <t>Eum, Sung Hwan</t>
    <phoneticPr fontId="13" type="noConversion"/>
  </si>
  <si>
    <t>Han, Hyun Wook</t>
    <phoneticPr fontId="13" type="noConversion"/>
  </si>
  <si>
    <t>Jang, Yong Seon</t>
    <phoneticPr fontId="13" type="noConversion"/>
  </si>
  <si>
    <t>Jeong, Ji Ho</t>
    <phoneticPr fontId="13" type="noConversion"/>
  </si>
  <si>
    <t>Jun, Chang Joong</t>
    <phoneticPr fontId="13" type="noConversion"/>
  </si>
  <si>
    <t>Jung, Sang Sik</t>
    <phoneticPr fontId="13" type="noConversion"/>
  </si>
  <si>
    <t>Kim, Bo Kyum</t>
    <phoneticPr fontId="13" type="noConversion"/>
  </si>
  <si>
    <t>Kim, Min Sung</t>
    <phoneticPr fontId="13" type="noConversion"/>
  </si>
  <si>
    <t>Kim, Young Wook</t>
    <phoneticPr fontId="13" type="noConversion"/>
  </si>
  <si>
    <t>Lee, Dong Jin</t>
    <phoneticPr fontId="13" type="noConversion"/>
  </si>
  <si>
    <t>Lee, Hu Jin</t>
    <phoneticPr fontId="13" type="noConversion"/>
  </si>
  <si>
    <t>Lee, Kae Won</t>
    <phoneticPr fontId="13" type="noConversion"/>
  </si>
  <si>
    <t>Lee, Kyu Il</t>
    <phoneticPr fontId="13" type="noConversion"/>
  </si>
  <si>
    <t>Lim, Seok Woo</t>
    <phoneticPr fontId="13" type="noConversion"/>
  </si>
  <si>
    <t>Moon, Ki Jong</t>
    <phoneticPr fontId="13" type="noConversion"/>
  </si>
  <si>
    <t>Park, Jin Soo</t>
    <phoneticPr fontId="13" type="noConversion"/>
  </si>
  <si>
    <t>Park, Jun Hwan</t>
    <phoneticPr fontId="13" type="noConversion"/>
  </si>
  <si>
    <t>Park, Shin Wook</t>
    <phoneticPr fontId="13" type="noConversion"/>
  </si>
  <si>
    <t>sung-wook.chung@hpe.com</t>
    <phoneticPr fontId="13" type="noConversion"/>
  </si>
  <si>
    <t>sung-hwan.eum@hpe.com</t>
  </si>
  <si>
    <t>yong-seon.jang@hpe.com</t>
  </si>
  <si>
    <t>chang-joong.jun@hpe.com</t>
  </si>
  <si>
    <t>bo-kyum.kim@hpe.com</t>
  </si>
  <si>
    <t>dong-jin.lee@hpe.com</t>
  </si>
  <si>
    <t>hu-jin.lee@hpe.com</t>
  </si>
  <si>
    <t>010-8753-7591</t>
    <phoneticPr fontId="13" type="noConversion"/>
  </si>
  <si>
    <t>010-3906-0291</t>
    <phoneticPr fontId="13" type="noConversion"/>
  </si>
  <si>
    <t>010-4146-3092</t>
    <phoneticPr fontId="13" type="noConversion"/>
  </si>
  <si>
    <t>010-4747-0509</t>
  </si>
  <si>
    <t>010-3789-6257</t>
  </si>
  <si>
    <t>010-2692-3581</t>
  </si>
  <si>
    <t>010-9612-2407</t>
  </si>
  <si>
    <t>010-8547-3854</t>
  </si>
  <si>
    <t>010-9173-6468</t>
  </si>
  <si>
    <t>010-3409-4624</t>
  </si>
  <si>
    <t>010-2049-5964</t>
  </si>
  <si>
    <t>010-6880-7212</t>
  </si>
  <si>
    <t>010-2245-1628</t>
  </si>
  <si>
    <t>010-2762-1454</t>
  </si>
  <si>
    <t>010-5248-2167</t>
  </si>
  <si>
    <t>010-7183-9675</t>
  </si>
  <si>
    <t>010-9342-2636</t>
  </si>
  <si>
    <t>010-3688-1000</t>
  </si>
  <si>
    <t>010-3761-7197</t>
  </si>
  <si>
    <t>010-2581-0613</t>
  </si>
  <si>
    <t>Nam, Seoung Ho</t>
    <phoneticPr fontId="13" type="noConversion"/>
  </si>
  <si>
    <t>hyunwook.han@hpe.com</t>
  </si>
  <si>
    <t>jh.jeong@hpe.com</t>
  </si>
  <si>
    <t>sangsik.jung@hpe.com</t>
  </si>
  <si>
    <t>minsung.kim@hpe.com</t>
  </si>
  <si>
    <t>youngwook.kim@hpe.com</t>
  </si>
  <si>
    <t>kaewon.kee@hpe.com</t>
  </si>
  <si>
    <t>kyu-il.lee@hpe.com</t>
  </si>
  <si>
    <t>seok-woo.lim@hpe.com</t>
  </si>
  <si>
    <t>kjmoon@hpe.com</t>
  </si>
  <si>
    <t>seoung-ho.nam@hpe.com</t>
  </si>
  <si>
    <t>jinsoo.park@hpe.com</t>
  </si>
  <si>
    <t>jun-hwan.park@hpe.com</t>
  </si>
  <si>
    <t>shin-wook.park@hpe.com</t>
  </si>
  <si>
    <t>Technical Soution (Brierfing)
Proposed Solution (DO)
SOW</t>
    <phoneticPr fontId="13" type="noConversion"/>
  </si>
  <si>
    <t>Portfolio - A&amp;PS (PL)</t>
    <phoneticPr fontId="13" type="noConversion"/>
  </si>
  <si>
    <t xml:space="preserve">Is Delivery aligned to the scope? (Write your opinion)
- Yes, It is.
</t>
    <phoneticPr fontId="13" type="noConversion"/>
  </si>
  <si>
    <t>Yes.</t>
    <phoneticPr fontId="13" type="noConversion"/>
  </si>
  <si>
    <t>Do you agree with Section 2 of the SOW (Write your opinion)
- Yes, I agree.</t>
    <phoneticPr fontId="13" type="noConversion"/>
  </si>
  <si>
    <t>GreenLake</t>
    <phoneticPr fontId="13" type="noConversion"/>
  </si>
  <si>
    <t>[A&amp;PS]</t>
    <phoneticPr fontId="13" type="noConversion"/>
  </si>
  <si>
    <t>LES</t>
    <phoneticPr fontId="13" type="noConversion"/>
  </si>
  <si>
    <t>Datacentercare consulting</t>
    <phoneticPr fontId="13" type="noConversion"/>
  </si>
  <si>
    <t>Network and mobility</t>
    <phoneticPr fontId="13" type="noConversion"/>
  </si>
  <si>
    <t>[3rd Party]</t>
    <phoneticPr fontId="13" type="noConversion"/>
  </si>
  <si>
    <t>Colocation</t>
    <phoneticPr fontId="13" type="noConversion"/>
  </si>
  <si>
    <t>[HIT &amp; Edge]</t>
    <phoneticPr fontId="13" type="noConversion"/>
  </si>
  <si>
    <t>Compute</t>
    <phoneticPr fontId="13" type="noConversion"/>
  </si>
  <si>
    <t>Storage</t>
    <phoneticPr fontId="13" type="noConversion"/>
  </si>
  <si>
    <t>Network</t>
    <phoneticPr fontId="13" type="noConversion"/>
  </si>
  <si>
    <t>Aruba</t>
    <phoneticPr fontId="13" type="noConversion"/>
  </si>
  <si>
    <t>CMS</t>
    <phoneticPr fontId="13" type="noConversion"/>
  </si>
  <si>
    <t>Storage and big data</t>
    <phoneticPr fontId="13" type="noConversion"/>
  </si>
  <si>
    <t>education</t>
    <phoneticPr fontId="13" type="noConversion"/>
  </si>
  <si>
    <t>3rd party HW</t>
    <phoneticPr fontId="13" type="noConversion"/>
  </si>
  <si>
    <t>3rd party HW support</t>
    <phoneticPr fontId="13" type="noConversion"/>
  </si>
  <si>
    <t>3rd party SW</t>
    <phoneticPr fontId="13" type="noConversion"/>
  </si>
  <si>
    <t>3rd party SW support</t>
    <phoneticPr fontId="13" type="noConversion"/>
  </si>
  <si>
    <t>3rd party service</t>
    <phoneticPr fontId="13" type="noConversion"/>
  </si>
  <si>
    <t>3rd party other</t>
    <phoneticPr fontId="13" type="noConversion"/>
  </si>
  <si>
    <t>Other HW</t>
    <phoneticPr fontId="13" type="noConversion"/>
  </si>
  <si>
    <t>21. Non-Std. SW License terms</t>
    <phoneticPr fontId="13" type="noConversion"/>
  </si>
  <si>
    <t>17. Limitation of Liability - Direct</t>
    <phoneticPr fontId="13" type="noConversion"/>
  </si>
  <si>
    <t>•Limitation of liability is capped at 100% of TCV (동일)</t>
    <phoneticPr fontId="13" type="noConversion"/>
  </si>
  <si>
    <t>18. Limitation of Liability - indirect</t>
    <phoneticPr fontId="13" type="noConversion"/>
  </si>
  <si>
    <t>26. Terminatory/Settlement Agreements</t>
    <phoneticPr fontId="13" type="noConversion"/>
  </si>
  <si>
    <t>28. Delivery W/O Orders</t>
    <phoneticPr fontId="13" type="noConversion"/>
  </si>
  <si>
    <t>32. Bank Guarantees or Promissionary Notes</t>
    <phoneticPr fontId="13" type="noConversion"/>
  </si>
  <si>
    <t>OPE ID</t>
    <phoneticPr fontId="13" type="noConversion"/>
  </si>
  <si>
    <t>최종 검수</t>
    <phoneticPr fontId="13" type="noConversion"/>
  </si>
  <si>
    <t>서명 고객</t>
    <phoneticPr fontId="13" type="noConversion"/>
  </si>
  <si>
    <t>영업 담당</t>
    <phoneticPr fontId="13" type="noConversion"/>
  </si>
  <si>
    <t>허일</t>
    <phoneticPr fontId="13" type="noConversion"/>
  </si>
  <si>
    <t>오홍서</t>
    <phoneticPr fontId="13" type="noConversion"/>
  </si>
  <si>
    <t>이정희</t>
    <phoneticPr fontId="13" type="noConversion"/>
  </si>
  <si>
    <t>프로젝트 계획서</t>
    <phoneticPr fontId="13" type="noConversion"/>
  </si>
  <si>
    <t>요구사항 정의서</t>
    <phoneticPr fontId="13" type="noConversion"/>
  </si>
  <si>
    <t>인프라 설계서</t>
    <phoneticPr fontId="13" type="noConversion"/>
  </si>
  <si>
    <t>3M</t>
    <phoneticPr fontId="13" type="noConversion"/>
  </si>
  <si>
    <t>EID</t>
    <phoneticPr fontId="13" type="noConversion"/>
  </si>
  <si>
    <t>Customer</t>
    <phoneticPr fontId="13" type="noConversion"/>
  </si>
  <si>
    <t>PM Name</t>
    <phoneticPr fontId="13" type="noConversion"/>
  </si>
  <si>
    <t>Sales Rep.</t>
    <phoneticPr fontId="13" type="noConversion"/>
  </si>
  <si>
    <t>Oh, Jeong Wook</t>
    <phoneticPr fontId="13" type="noConversion"/>
  </si>
  <si>
    <t>05 - Negotiate &amp; Close</t>
  </si>
  <si>
    <t>if cooperation with telco companies is not smoothe, additional resources for dedicated support should be put in.</t>
    <phoneticPr fontId="13" type="noConversion"/>
  </si>
  <si>
    <t>Date:(yyyy-mm-dd)</t>
    <phoneticPr fontId="13" type="noConversion"/>
  </si>
  <si>
    <t>Contract Start Date: (yyyy-mm-dd)</t>
    <phoneticPr fontId="13" type="noConversion"/>
  </si>
  <si>
    <t>Contract End Date: (yyyy-mm-dd)</t>
    <phoneticPr fontId="13" type="noConversion"/>
  </si>
  <si>
    <t>•Payment schedule: M5 (100%)
•The payment duration is over 3 months.</t>
    <phoneticPr fontId="13" type="noConversion"/>
  </si>
  <si>
    <t>• Best position that can be negotiated and consistent with the existing agreement that we had with customer.</t>
  </si>
  <si>
    <t>• Risk for penalty &amp; liability will be mitigated by Cap limited, all risk flown-down to 3P suppliers and past delivery track record with no penalty levied and expect to continue the smooth delivery pattern.</t>
  </si>
  <si>
    <t>• Finance risk costed in e3t.</t>
  </si>
  <si>
    <t>• 1st phase project was closed on time so, there was no imposed LD penalty and the customer hasn’t imposed LD penalty to HPE so far for 10 years.</t>
  </si>
  <si>
    <t>• We have not encountered any delivery issues in the past for this account and there is no dispute invoice from the customer so far.</t>
  </si>
  <si>
    <t>• The payment from client has been on time.</t>
  </si>
  <si>
    <t>- The KB Card customer does not pay for the project cost within 6 months if the project duration is not over 6 months by its policy.
- HPE will get 100% payment in 5 months.</t>
    <phoneticPr fontId="13" type="noConversion"/>
  </si>
  <si>
    <t>•This deal does not have much risk due to the following reasons:
    - This is 2nd phase project that HPE has already finished with same HPE resources.
    - There is little risk because the scope of work is the same, only target is different</t>
    <phoneticPr fontId="13" type="noConversion"/>
  </si>
  <si>
    <t>Shinhan Card</t>
    <phoneticPr fontId="13" type="noConversion"/>
  </si>
  <si>
    <t>Lee, Jung Heui</t>
    <phoneticPr fontId="13" type="noConversion"/>
  </si>
  <si>
    <t>- Upgrade the integrated analysis platform that was built and operated using Cloudera
- This improves customer service by securing system stability and supporting efficient infrastructure operation
- In addition, enahnce service satisfaction and discover new business to strengthen business competitiveness</t>
    <phoneticPr fontId="13" type="noConversion"/>
  </si>
  <si>
    <t>- This project is to upgrade the customer's integrated analysis platform that was built and operated using Cloudera</t>
    <phoneticPr fontId="13" type="noConversion"/>
  </si>
  <si>
    <t>- HPE successfully implemented the current system subject to this upgrade and also successfully performed many project for the Shinhan Finance Group
- HPE and Partners has much experience in implmenting Big data platofrm in Korea.</t>
    <phoneticPr fontId="13" type="noConversion"/>
  </si>
  <si>
    <t>Big data platform upgrade</t>
    <phoneticPr fontId="13" type="noConversion"/>
  </si>
  <si>
    <t>Analysis platform (Kubernetes) upgrade</t>
    <phoneticPr fontId="13" type="noConversion"/>
  </si>
  <si>
    <t>- H/W and S/W will be provided by the customer (another contract)
- Contract with the customer in August but the project will start in December due to the resignation of the person in charge.</t>
    <phoneticPr fontId="13" type="noConversion"/>
  </si>
  <si>
    <t>Implementing real-time data collection envrionment</t>
    <phoneticPr fontId="13" type="noConversion"/>
  </si>
  <si>
    <t>- Kubernetes cluster upgrade
- Kubernetes cluster migration
- Python standard program/modeller validation
- CDP interfacing and validation</t>
    <phoneticPr fontId="13" type="noConversion"/>
  </si>
  <si>
    <t>This is WW SOAR Full OBR approval Request for Shinhan Card's cloudra uprade</t>
    <phoneticPr fontId="13" type="noConversion"/>
  </si>
  <si>
    <t>DawinICT</t>
    <phoneticPr fontId="13" type="noConversion"/>
  </si>
  <si>
    <t>GiT</t>
    <phoneticPr fontId="13" type="noConversion"/>
  </si>
  <si>
    <t>Financial</t>
  </si>
  <si>
    <t>Financial Risk</t>
    <phoneticPr fontId="13" type="noConversion"/>
  </si>
  <si>
    <t>10% capped LD penalty will be applied</t>
    <phoneticPr fontId="13" type="noConversion"/>
  </si>
  <si>
    <t>Internal</t>
    <phoneticPr fontId="13" type="noConversion"/>
  </si>
  <si>
    <t>Service</t>
    <phoneticPr fontId="13" type="noConversion"/>
  </si>
  <si>
    <t>Kubernetes upgrade</t>
    <phoneticPr fontId="13" type="noConversion"/>
  </si>
  <si>
    <t>This project includes kubernetes upgrade in parallel to cloudera. The target cluster can be increased because this sytems is in production</t>
    <phoneticPr fontId="13" type="noConversion"/>
  </si>
  <si>
    <t>Cost can increase</t>
    <phoneticPr fontId="13" type="noConversion"/>
  </si>
  <si>
    <t>The target is fixed in the RFP but, if the increased target can be covered with few resources and it is essential to cover this for success, HPE can add resources to perform this task.</t>
    <phoneticPr fontId="13" type="noConversion"/>
  </si>
  <si>
    <t>Applying Kafka cluster</t>
    <phoneticPr fontId="13" type="noConversion"/>
  </si>
  <si>
    <t>This project includes a Kafka cluster application to the current system. If the current system has more types than expected, more resources can be needed</t>
    <phoneticPr fontId="13" type="noConversion"/>
  </si>
  <si>
    <t>This task is included due to the CDP has a Kafka solution. Applying to the current system has the characteristic of a pilot. so, if this happens, HPE needs to perform this successully  by addding resources for the future expansion.</t>
    <phoneticPr fontId="13" type="noConversion"/>
  </si>
  <si>
    <t>Scope/Engagement Definition</t>
  </si>
  <si>
    <t>Scope/Engagement Definition</t>
    <phoneticPr fontId="13" type="noConversion"/>
  </si>
  <si>
    <t>Y</t>
    <phoneticPr fontId="13" type="noConversion"/>
  </si>
  <si>
    <t>- Implemented this Big data platform with HPE in 2018.
- Formal distributor of Cloudera in charge of Shinhan Finance Group in Korea</t>
    <phoneticPr fontId="13" type="noConversion"/>
  </si>
  <si>
    <t>G5</t>
    <phoneticPr fontId="13" type="noConversion"/>
  </si>
  <si>
    <t>- HPE: Project Manager, CoE consultant for the Kubernetes upgrade.
- 3P: Cloudera / Qilk (Visualization system) / Kubernetes engineer</t>
    <phoneticPr fontId="13" type="noConversion"/>
  </si>
  <si>
    <t>APE-02164224</t>
    <phoneticPr fontId="13" type="noConversion"/>
  </si>
  <si>
    <t>08/08/22</t>
    <phoneticPr fontId="13" type="noConversion"/>
  </si>
  <si>
    <t>Response/Recommendation</t>
    <phoneticPr fontId="13" type="noConversion"/>
  </si>
  <si>
    <t xml:space="preserve">Confirm that the proposed architecture is available because this is the upgrade project for the system currently using.
</t>
    <phoneticPr fontId="13" type="noConversion"/>
  </si>
  <si>
    <t>There is no risk for the overall solution because the solution is currently used in the production system.</t>
    <phoneticPr fontId="13" type="noConversion"/>
  </si>
  <si>
    <t>Yes.</t>
    <phoneticPr fontId="13" type="noConversion"/>
  </si>
  <si>
    <t>Just license and the S/W module are required so, there is no possibility that the 3rd party solution is not achievable.</t>
    <phoneticPr fontId="13" type="noConversion"/>
  </si>
  <si>
    <t>No issue</t>
    <phoneticPr fontId="13" type="noConversion"/>
  </si>
  <si>
    <t>No isue</t>
    <phoneticPr fontId="13" type="noConversion"/>
  </si>
  <si>
    <t>Won</t>
    <phoneticPr fontId="13" type="noConversion"/>
  </si>
  <si>
    <t>No</t>
    <phoneticPr fontId="13" type="noConversion"/>
  </si>
  <si>
    <t>Yes</t>
    <phoneticPr fontId="13" type="noConversion"/>
  </si>
  <si>
    <t>M1(50%), M5(50%)</t>
    <phoneticPr fontId="13" type="noConversion"/>
  </si>
  <si>
    <t>2022-08-17 ~ 2022-08-19 / 5 months.</t>
    <phoneticPr fontId="13" type="noConversion"/>
  </si>
  <si>
    <t>신</t>
    <phoneticPr fontId="13" type="noConversion"/>
  </si>
  <si>
    <t>Service</t>
  </si>
  <si>
    <t>- Kafka cluster implementation for real-time data streaming
- Applying current collection system to the new Kafka cluster</t>
    <phoneticPr fontId="13" type="noConversion"/>
  </si>
  <si>
    <t>Big data business system upgrade</t>
    <phoneticPr fontId="13" type="noConversion"/>
  </si>
  <si>
    <t>- CDP 7.x installation
- Data node upgrade and configuring cluster
- Data migration and validation
- Interfacing to Active Directory and applying authentication</t>
    <phoneticPr fontId="13" type="noConversion"/>
  </si>
  <si>
    <t>- Interfacing visualization system (Qilk) to the upgraded CDP
- Interfacing Big data portal to the CDP (Login, API interface, etc.)
- ETL upgrade and ETL program transformation/validation
- Data migration (running ETL)</t>
    <phoneticPr fontId="13" type="noConversion"/>
  </si>
  <si>
    <t>GiT
DawinICT</t>
    <phoneticPr fontId="13" type="noConversion"/>
  </si>
  <si>
    <t>1. Custom T&amp;Cs will be applied
2. 10% capped LD penalty will be included
3. HPE resources
     - Project Manager
     - CoE consultant for the Kubernetes upgrade.
4. Billing Milestone
     - M1(2022.12) - 50%, M5(2023.01) - 50%</t>
    <phoneticPr fontId="13" type="noConversion"/>
  </si>
  <si>
    <t>- Big data platform(CDP) upgrade
- Interfacing Big data portal to the CDP
- Kafka cluster implementation for real-time dat streaming</t>
    <phoneticPr fontId="13" type="noConversion"/>
  </si>
  <si>
    <t>NSP ID</t>
    <phoneticPr fontId="13" type="noConversion"/>
  </si>
  <si>
    <t>•This is a 2nd phase of the project related to just solution upgrade.
•HPE successfully implemented 1st phase project so, well knows the system and environment.
• implementation project was closed on time. so, there was no imposed LD penalty  
• Thecustomer hasn’t imposed LD penalty to HPE so far for 10 years.</t>
    <phoneticPr fontId="13" type="noConversion"/>
  </si>
  <si>
    <t>APE-02164224</t>
    <phoneticPr fontId="13" type="noConversion"/>
  </si>
  <si>
    <t>- HPE had many meetings with the customer related to the requirements for this upgrade project.
- HPE and GiT (Cloudera supplier) successfully performed P.o.C for the requisite requirements for one month</t>
    <phoneticPr fontId="13" type="noConversion"/>
  </si>
  <si>
    <t>LG-CNS</t>
    <phoneticPr fontId="13" type="noConversion"/>
  </si>
  <si>
    <t>- Analysis platform (Kubernetes) upgrade
- Applying current collection system to the new Kafka cluster
(by subcontractor DataStreams)
- Interfacing visualization system (Qilk)
- ETL upgrade
- Data migration (running ETL)</t>
    <phoneticPr fontId="13" type="noConversion"/>
  </si>
  <si>
    <t>- Implemented this Big data platform with HPE in 2018.
- Has much experience in working with HPE in various projects and has a good reputation in enterprise IT field
- Subcontractor DataStreams is the formall distributor of Qilk in charge of Shinhan Finance Group</t>
    <phoneticPr fontId="13" type="noConversion"/>
  </si>
  <si>
    <t>직급</t>
    <phoneticPr fontId="13" type="noConversion"/>
  </si>
  <si>
    <t>TotalCost</t>
  </si>
  <si>
    <t>Off</t>
  </si>
  <si>
    <t>On</t>
  </si>
  <si>
    <t>Off Cost</t>
  </si>
  <si>
    <t>On Cost</t>
  </si>
  <si>
    <t>`</t>
  </si>
  <si>
    <t>Inflation Rate</t>
  </si>
  <si>
    <t>Total Time</t>
  </si>
  <si>
    <t>23년 1월과 2월은 160 시간으로 계산</t>
  </si>
  <si>
    <t>KR3-PCS01.05</t>
  </si>
  <si>
    <t>ETEVERS</t>
  </si>
  <si>
    <t>Not Started</t>
  </si>
  <si>
    <t>PR-2439297</t>
  </si>
  <si>
    <t>Advisory &amp; Professional Services-7100728495-KR-Shinhan Card Co., Ltd.</t>
  </si>
  <si>
    <t>Shinhan Card Co., Ltd.</t>
  </si>
  <si>
    <t>7/25/2022</t>
  </si>
  <si>
    <t>7/14/2022</t>
  </si>
  <si>
    <t>9/30/2022</t>
  </si>
  <si>
    <t>OPE-0014158119</t>
  </si>
  <si>
    <t>S4_7100728495_KR</t>
  </si>
  <si>
    <t>NQ04373322-01</t>
  </si>
  <si>
    <t>HK031A1</t>
  </si>
  <si>
    <t>KR3-PCS01.05 (PL G4)</t>
  </si>
  <si>
    <t>25/JUL/2022</t>
  </si>
  <si>
    <t>HP Integrity Complex Service</t>
  </si>
  <si>
    <t>ETEVERS CO.LTD</t>
  </si>
  <si>
    <t>7100728495</t>
  </si>
  <si>
    <t>G400</t>
  </si>
  <si>
    <t xml:space="preserve"> Shinhan Card Co., Ltd. </t>
  </si>
  <si>
    <t>S4</t>
  </si>
  <si>
    <t>Cloudera infra support</t>
  </si>
  <si>
    <t>클라우데라 인프라 지원</t>
  </si>
  <si>
    <t>Park, Shin Wook</t>
  </si>
  <si>
    <t>고객SOW 무서명이 가능한 경우</t>
  </si>
  <si>
    <t>- TCV 100k 이하</t>
  </si>
  <si>
    <t>- 마지막 달에만 Revenue 인식 가능한 경우</t>
  </si>
  <si>
    <t>클라우데라 서버 설치</t>
  </si>
  <si>
    <t>클라우데라 업그레이드 지원</t>
  </si>
  <si>
    <t>2022년 9월</t>
  </si>
  <si>
    <t>FLGM L2 Standard</t>
  </si>
  <si>
    <t>Service USD</t>
  </si>
  <si>
    <t>3P Service USD</t>
  </si>
  <si>
    <t>service</t>
  </si>
  <si>
    <t>Product</t>
  </si>
  <si>
    <t>Software</t>
  </si>
  <si>
    <t>Average %</t>
  </si>
</sst>
</file>

<file path=xl/styles.xml><?xml version="1.0" encoding="utf-8"?>
<styleSheet xmlns="http://schemas.openxmlformats.org/spreadsheetml/2006/main" xmlns:mc="http://schemas.openxmlformats.org/markup-compatibility/2006" xmlns:x14ac="http://schemas.microsoft.com/office/spreadsheetml/2009/9/ac" mc:Ignorable="x14ac">
  <numFmts count="32">
    <numFmt numFmtId="41" formatCode="_-* #,##0_-;\-* #,##0_-;_-* &quot;-&quot;_-;_-@_-"/>
    <numFmt numFmtId="43" formatCode="_-* #,##0.00_-;\-* #,##0.00_-;_-* &quot;-&quot;??_-;_-@_-"/>
    <numFmt numFmtId="164" formatCode="\$#,##0_);[Red]\(\$#,##0\)"/>
    <numFmt numFmtId="165" formatCode="\$#,##0.00_);[Red]\(\$#,##0.00\)"/>
    <numFmt numFmtId="166" formatCode="0.0%"/>
    <numFmt numFmtId="167" formatCode="[$$-409]#,##0.00_ ;\-[$$-409]#,##0.00\ "/>
    <numFmt numFmtId="168" formatCode="[$$-409]#,##0_ ;\-[$$-409]#,##0\ "/>
    <numFmt numFmtId="169" formatCode="[$₩-412]#,##0"/>
    <numFmt numFmtId="170" formatCode="[$₩-412]#,##0;\-[$₩-412]#,##0"/>
    <numFmt numFmtId="171" formatCode="mm&quot;/&quot;dd&quot;/&quot;yy;@"/>
    <numFmt numFmtId="172" formatCode="[$$-409]#,##0.00"/>
    <numFmt numFmtId="173" formatCode="_-* #,##0.0_-;\-* #,##0.0_-;_-* &quot;-&quot;_-;_-@_-"/>
    <numFmt numFmtId="174" formatCode="&quot;₩&quot;#,##0"/>
    <numFmt numFmtId="175" formatCode="[$$-409]#,##0"/>
    <numFmt numFmtId="176" formatCode="[$KRW]\ #,##0;\-[$KRW]\ #,##0"/>
    <numFmt numFmtId="177" formatCode="0.0000"/>
    <numFmt numFmtId="178" formatCode="_-* #,##0.0_-;\-* #,##0.0_-;_-* &quot;-&quot;?_-;_-@_-"/>
    <numFmt numFmtId="179" formatCode="0.000"/>
    <numFmt numFmtId="180" formatCode="&quot;₩&quot;#,##0.00"/>
    <numFmt numFmtId="181" formatCode="\$#,##0"/>
    <numFmt numFmtId="182" formatCode="_-* #,##0.00_-;\-* #,##0.00_-;_-* &quot;-&quot;_-;_-@_-"/>
    <numFmt numFmtId="183" formatCode="_-* #,##0.000_-;\-* #,##0.000_-;_-* &quot;-&quot;_-;_-@_-"/>
    <numFmt numFmtId="184" formatCode="_(&quot;$&quot;* #,##0_);_(&quot;$&quot;* \(#,##0\);_(&quot;$&quot;* &quot;-&quot;_);_(@_)"/>
    <numFmt numFmtId="185" formatCode="_(&quot;$&quot;* #,##0.00_);_(&quot;$&quot;* \(#,##0.00\);_(&quot;$&quot;* &quot;-&quot;??_);_(@_)"/>
    <numFmt numFmtId="186" formatCode="_-&quot;$&quot;* #,##0.00_-;\-&quot;$&quot;* #,##0.00_-;_-&quot;$&quot;* &quot;-&quot;??_-;_-@_-"/>
    <numFmt numFmtId="187" formatCode="_-* #,##0.0_-;\-* #,##0.0_-;_-* &quot;-&quot;??_-;_-@_-"/>
    <numFmt numFmtId="188" formatCode="0.00_)"/>
    <numFmt numFmtId="189" formatCode="_ &quot;$&quot;* #,##0.00_ ;_ &quot;$&quot;* \-#,##0.00_ ;_ &quot;$&quot;* &quot;-&quot;??_ ;_ @_ "/>
    <numFmt numFmtId="190" formatCode="0.00;[Red]0.00"/>
    <numFmt numFmtId="191" formatCode="_(* #,##0.00000_);_(* \(#,##0.00000\);_(* &quot;-&quot;??_);_(@_)"/>
    <numFmt numFmtId="192" formatCode="&quot;$&quot;#,##0;[Red]&quot;$&quot;#,##0"/>
    <numFmt numFmtId="193" formatCode="#,##0,"/>
  </numFmts>
  <fonts count="75">
    <font>
      <sz val="9"/>
      <color theme="1"/>
      <name val="나눔고딕"/>
      <family val="2"/>
      <charset val="129"/>
    </font>
    <font>
      <sz val="9"/>
      <color theme="1"/>
      <name val="나눔고딕"/>
      <family val="2"/>
      <charset val="129"/>
    </font>
    <font>
      <b/>
      <sz val="9"/>
      <color theme="1"/>
      <name val="나눔고딕"/>
      <family val="3"/>
      <charset val="129"/>
    </font>
    <font>
      <b/>
      <u/>
      <sz val="9"/>
      <color theme="1"/>
      <name val="나눔고딕"/>
      <family val="3"/>
      <charset val="129"/>
    </font>
    <font>
      <b/>
      <u/>
      <sz val="10"/>
      <color theme="1"/>
      <name val="나눔고딕"/>
      <family val="3"/>
      <charset val="129"/>
    </font>
    <font>
      <b/>
      <sz val="9"/>
      <color rgb="FFFFFFFF"/>
      <name val="나눔고딕"/>
      <family val="3"/>
      <charset val="129"/>
    </font>
    <font>
      <sz val="9"/>
      <color theme="1"/>
      <name val="나눔고딕"/>
      <family val="3"/>
      <charset val="129"/>
    </font>
    <font>
      <sz val="9"/>
      <color rgb="FF000000"/>
      <name val="나눔고딕"/>
      <family val="3"/>
      <charset val="129"/>
    </font>
    <font>
      <u/>
      <sz val="9"/>
      <color theme="10"/>
      <name val="나눔고딕"/>
      <family val="2"/>
      <charset val="129"/>
    </font>
    <font>
      <b/>
      <i/>
      <sz val="9"/>
      <color theme="1"/>
      <name val="나눔고딕"/>
      <family val="3"/>
      <charset val="129"/>
    </font>
    <font>
      <b/>
      <sz val="9"/>
      <color rgb="FF0070C0"/>
      <name val="나눔고딕"/>
      <family val="3"/>
      <charset val="129"/>
    </font>
    <font>
      <sz val="9"/>
      <color rgb="FF0070C0"/>
      <name val="나눔고딕"/>
      <family val="3"/>
      <charset val="129"/>
    </font>
    <font>
      <sz val="10"/>
      <color rgb="FF000000"/>
      <name val="Calibri"/>
      <family val="2"/>
    </font>
    <font>
      <sz val="8"/>
      <name val="나눔고딕"/>
      <family val="2"/>
      <charset val="129"/>
    </font>
    <font>
      <b/>
      <sz val="9"/>
      <color rgb="FFFF0000"/>
      <name val="나눔고딕"/>
      <family val="3"/>
      <charset val="129"/>
    </font>
    <font>
      <sz val="9"/>
      <color rgb="FFFF0000"/>
      <name val="나눔고딕"/>
      <family val="2"/>
      <charset val="129"/>
    </font>
    <font>
      <sz val="10"/>
      <color theme="1"/>
      <name val="나눔고딕"/>
      <family val="3"/>
      <charset val="129"/>
    </font>
    <font>
      <sz val="10"/>
      <color theme="1"/>
      <name val="Calibri"/>
      <family val="2"/>
    </font>
    <font>
      <sz val="12"/>
      <color theme="1"/>
      <name val="나눔고딕"/>
      <family val="3"/>
      <charset val="129"/>
    </font>
    <font>
      <sz val="12"/>
      <color rgb="FF000000"/>
      <name val="나눔고딕"/>
      <family val="3"/>
      <charset val="129"/>
    </font>
    <font>
      <sz val="9"/>
      <color rgb="FF9C0006"/>
      <name val="나눔고딕"/>
      <family val="2"/>
      <charset val="129"/>
    </font>
    <font>
      <b/>
      <sz val="9"/>
      <color theme="1"/>
      <name val="맑은 고딕"/>
      <family val="3"/>
      <charset val="129"/>
    </font>
    <font>
      <b/>
      <sz val="9"/>
      <color rgb="FF0070C0"/>
      <name val="맑은 고딕"/>
      <family val="3"/>
      <charset val="129"/>
    </font>
    <font>
      <b/>
      <sz val="9"/>
      <color rgb="FFFF0000"/>
      <name val="맑은 고딕"/>
      <family val="3"/>
      <charset val="129"/>
    </font>
    <font>
      <b/>
      <sz val="9"/>
      <name val="맑은 고딕"/>
      <family val="3"/>
      <charset val="129"/>
    </font>
    <font>
      <b/>
      <i/>
      <sz val="9"/>
      <color theme="1"/>
      <name val="맑은 고딕"/>
      <family val="3"/>
      <charset val="129"/>
    </font>
    <font>
      <sz val="9"/>
      <name val="맑은 고딕"/>
      <family val="3"/>
      <charset val="129"/>
    </font>
    <font>
      <sz val="9"/>
      <color rgb="FFFF0000"/>
      <name val="맑은 고딕"/>
      <family val="2"/>
      <charset val="129"/>
    </font>
    <font>
      <sz val="9"/>
      <color rgb="FFFF0000"/>
      <name val="맑은 고딕"/>
      <family val="3"/>
      <charset val="129"/>
    </font>
    <font>
      <sz val="9"/>
      <color theme="1"/>
      <name val="MetricHPE Medium"/>
      <family val="2"/>
    </font>
    <font>
      <sz val="12"/>
      <color rgb="FF000000"/>
      <name val="MetricHPE Semibold"/>
      <family val="2"/>
    </font>
    <font>
      <sz val="10"/>
      <color theme="1"/>
      <name val="MetricHPE Light"/>
      <family val="2"/>
    </font>
    <font>
      <b/>
      <sz val="10"/>
      <color rgb="FF000000"/>
      <name val="MetricHPE Semibold"/>
      <family val="2"/>
    </font>
    <font>
      <sz val="10"/>
      <color rgb="FF000000"/>
      <name val="MetricHPE Medium"/>
      <family val="2"/>
    </font>
    <font>
      <sz val="11"/>
      <color rgb="FF000000"/>
      <name val="MetricHPE Medium"/>
      <family val="2"/>
    </font>
    <font>
      <sz val="11"/>
      <color rgb="FFFF0000"/>
      <name val="MetricHPE Medium"/>
      <family val="2"/>
    </font>
    <font>
      <sz val="11"/>
      <name val="MetricHPE Medium"/>
      <family val="2"/>
    </font>
    <font>
      <b/>
      <i/>
      <sz val="11"/>
      <color rgb="FF000000"/>
      <name val="MetricHPE Medium"/>
      <family val="2"/>
    </font>
    <font>
      <vertAlign val="superscript"/>
      <sz val="11"/>
      <color rgb="FF000000"/>
      <name val="MetricHPE Medium"/>
      <family val="2"/>
    </font>
    <font>
      <sz val="9"/>
      <name val="나눔고딕"/>
      <family val="3"/>
      <charset val="129"/>
    </font>
    <font>
      <b/>
      <sz val="9"/>
      <name val="나눔고딕"/>
      <family val="3"/>
      <charset val="129"/>
    </font>
    <font>
      <sz val="9"/>
      <color rgb="FF000000"/>
      <name val="Calibri"/>
      <family val="2"/>
    </font>
    <font>
      <sz val="11"/>
      <color theme="1"/>
      <name val="Calibri"/>
      <family val="2"/>
      <charset val="129"/>
      <scheme val="minor"/>
    </font>
    <font>
      <sz val="11"/>
      <color theme="1"/>
      <name val="Calibri"/>
      <family val="2"/>
      <scheme val="minor"/>
    </font>
    <font>
      <sz val="11"/>
      <color rgb="FF006100"/>
      <name val="Calibri"/>
      <family val="2"/>
      <charset val="129"/>
      <scheme val="minor"/>
    </font>
    <font>
      <sz val="11"/>
      <color theme="0"/>
      <name val="Calibri"/>
      <family val="2"/>
      <charset val="129"/>
      <scheme val="minor"/>
    </font>
    <font>
      <sz val="10"/>
      <color rgb="FF000000"/>
      <name val="Calibri"/>
      <family val="3"/>
      <charset val="129"/>
      <scheme val="minor"/>
    </font>
    <font>
      <sz val="10"/>
      <color rgb="FF006100"/>
      <name val="Calibri"/>
      <family val="3"/>
      <charset val="129"/>
      <scheme val="minor"/>
    </font>
    <font>
      <sz val="10"/>
      <color theme="1"/>
      <name val="Calibri"/>
      <family val="3"/>
      <charset val="129"/>
      <scheme val="minor"/>
    </font>
    <font>
      <sz val="11"/>
      <color theme="1"/>
      <name val="Calibri"/>
      <family val="3"/>
      <charset val="129"/>
      <scheme val="minor"/>
    </font>
    <font>
      <sz val="10"/>
      <name val="Trebuchet MS"/>
      <family val="2"/>
    </font>
    <font>
      <sz val="10"/>
      <name val="Arial"/>
      <family val="2"/>
    </font>
    <font>
      <sz val="8"/>
      <name val="Arial"/>
      <family val="2"/>
    </font>
    <font>
      <b/>
      <sz val="8"/>
      <name val="Arial"/>
      <family val="2"/>
    </font>
    <font>
      <b/>
      <sz val="10"/>
      <name val="Arial"/>
      <family val="2"/>
    </font>
    <font>
      <sz val="10"/>
      <color indexed="8"/>
      <name val="Arial"/>
      <family val="2"/>
    </font>
    <font>
      <b/>
      <sz val="14"/>
      <name val="Arial"/>
      <family val="2"/>
    </font>
    <font>
      <b/>
      <sz val="12"/>
      <name val="Arial"/>
      <family val="2"/>
    </font>
    <font>
      <sz val="20"/>
      <name val="HP Logo LG"/>
      <charset val="2"/>
    </font>
    <font>
      <b/>
      <i/>
      <sz val="16"/>
      <name val="Helv"/>
      <family val="2"/>
    </font>
    <font>
      <b/>
      <sz val="10"/>
      <color indexed="12"/>
      <name val="Times New Roman"/>
      <family val="1"/>
    </font>
    <font>
      <sz val="10"/>
      <color indexed="12"/>
      <name val="Arial"/>
      <family val="2"/>
    </font>
    <font>
      <sz val="10"/>
      <color indexed="8"/>
      <name val="MS Sans Serif"/>
      <family val="2"/>
    </font>
    <font>
      <sz val="11"/>
      <color indexed="8"/>
      <name val="Calibri"/>
      <family val="2"/>
    </font>
    <font>
      <sz val="10"/>
      <color rgb="FF006100"/>
      <name val="Arial Unicode MS"/>
      <family val="2"/>
    </font>
    <font>
      <sz val="9"/>
      <color theme="1"/>
      <name val="宋体"/>
      <family val="3"/>
      <charset val="134"/>
    </font>
    <font>
      <sz val="11"/>
      <color theme="1"/>
      <name val="Calibri"/>
      <family val="2"/>
      <charset val="128"/>
      <scheme val="minor"/>
    </font>
    <font>
      <u/>
      <sz val="10"/>
      <color indexed="12"/>
      <name val="Arial"/>
      <family val="2"/>
    </font>
    <font>
      <sz val="12"/>
      <name val="宋体"/>
      <charset val="134"/>
    </font>
    <font>
      <b/>
      <sz val="12"/>
      <name val="宋体"/>
      <charset val="134"/>
    </font>
    <font>
      <sz val="10"/>
      <name val="Helv"/>
      <family val="2"/>
    </font>
    <font>
      <b/>
      <sz val="11"/>
      <color rgb="FF9C0006"/>
      <name val="Calibri"/>
      <family val="2"/>
    </font>
    <font>
      <b/>
      <sz val="11"/>
      <color rgb="FF006100"/>
      <name val="Calibri"/>
      <family val="2"/>
    </font>
    <font>
      <b/>
      <sz val="11"/>
      <color theme="1"/>
      <name val="맑은 고딕"/>
      <family val="3"/>
      <charset val="129"/>
    </font>
    <font>
      <b/>
      <sz val="9"/>
      <color theme="0"/>
      <name val="나눔고딕"/>
      <family val="3"/>
      <charset val="129"/>
    </font>
  </fonts>
  <fills count="21">
    <fill>
      <patternFill patternType="none"/>
    </fill>
    <fill>
      <patternFill patternType="gray125"/>
    </fill>
    <fill>
      <patternFill patternType="solid">
        <fgColor theme="7" tint="0.79998168889431442"/>
        <bgColor indexed="64"/>
      </patternFill>
    </fill>
    <fill>
      <patternFill patternType="solid">
        <fgColor theme="0" tint="-4.9989318521683403E-2"/>
        <bgColor indexed="64"/>
      </patternFill>
    </fill>
    <fill>
      <patternFill patternType="solid">
        <fgColor rgb="FFFFFFEB"/>
        <bgColor indexed="64"/>
      </patternFill>
    </fill>
    <fill>
      <patternFill patternType="solid">
        <fgColor theme="0" tint="-0.14999847407452621"/>
        <bgColor indexed="64"/>
      </patternFill>
    </fill>
    <fill>
      <patternFill patternType="solid">
        <fgColor rgb="FF4F81BD"/>
        <bgColor indexed="64"/>
      </patternFill>
    </fill>
    <fill>
      <patternFill patternType="solid">
        <fgColor rgb="FFFBFCD2"/>
        <bgColor indexed="64"/>
      </patternFill>
    </fill>
    <fill>
      <patternFill patternType="solid">
        <fgColor theme="4" tint="0.79998168889431442"/>
        <bgColor indexed="64"/>
      </patternFill>
    </fill>
    <fill>
      <patternFill patternType="solid">
        <fgColor rgb="FFEFF6FB"/>
        <bgColor indexed="64"/>
      </patternFill>
    </fill>
    <fill>
      <patternFill patternType="solid">
        <fgColor theme="9" tint="0.59999389629810485"/>
        <bgColor indexed="64"/>
      </patternFill>
    </fill>
    <fill>
      <patternFill patternType="solid">
        <fgColor theme="2"/>
        <bgColor indexed="64"/>
      </patternFill>
    </fill>
    <fill>
      <patternFill patternType="solid">
        <fgColor rgb="FFD9D9D9"/>
        <bgColor indexed="64"/>
      </patternFill>
    </fill>
    <fill>
      <patternFill patternType="solid">
        <fgColor rgb="FFF2F2F2"/>
        <bgColor indexed="64"/>
      </patternFill>
    </fill>
    <fill>
      <patternFill patternType="solid">
        <fgColor rgb="FFC6EFCE"/>
      </patternFill>
    </fill>
    <fill>
      <patternFill patternType="solid">
        <fgColor rgb="FFFFC7CE"/>
      </patternFill>
    </fill>
    <fill>
      <patternFill patternType="solid">
        <fgColor theme="4"/>
      </patternFill>
    </fill>
    <fill>
      <patternFill patternType="solid">
        <fgColor rgb="FFFFFFFF"/>
        <bgColor indexed="64"/>
      </patternFill>
    </fill>
    <fill>
      <patternFill patternType="solid">
        <fgColor indexed="42"/>
        <bgColor indexed="42"/>
      </patternFill>
    </fill>
    <fill>
      <patternFill patternType="solid">
        <fgColor rgb="FFFFFFCC"/>
        <bgColor indexed="64"/>
      </patternFill>
    </fill>
    <fill>
      <patternFill patternType="solid">
        <fgColor rgb="FF002060"/>
        <bgColor indexed="64"/>
      </patternFill>
    </fill>
  </fills>
  <borders count="111">
    <border>
      <left/>
      <right/>
      <top/>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34998626667073579"/>
      </left>
      <right/>
      <top style="thin">
        <color theme="0" tint="-0.34998626667073579"/>
      </top>
      <bottom style="thin">
        <color theme="0" tint="-0.34998626667073579"/>
      </bottom>
      <diagonal/>
    </border>
    <border>
      <left/>
      <right style="thin">
        <color theme="0" tint="-0.34998626667073579"/>
      </right>
      <top style="thin">
        <color theme="0" tint="-0.34998626667073579"/>
      </top>
      <bottom style="thin">
        <color theme="0" tint="-0.34998626667073579"/>
      </bottom>
      <diagonal/>
    </border>
    <border>
      <left/>
      <right/>
      <top style="thin">
        <color theme="0" tint="-0.34998626667073579"/>
      </top>
      <bottom style="thin">
        <color theme="0" tint="-0.34998626667073579"/>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medium">
        <color indexed="64"/>
      </bottom>
      <diagonal/>
    </border>
    <border>
      <left style="thin">
        <color theme="0" tint="-0.34998626667073579"/>
      </left>
      <right style="thin">
        <color theme="0" tint="-0.34998626667073579"/>
      </right>
      <top style="thin">
        <color theme="0" tint="-0.34998626667073579"/>
      </top>
      <bottom/>
      <diagonal/>
    </border>
    <border>
      <left style="thin">
        <color theme="0" tint="-0.34998626667073579"/>
      </left>
      <right style="thin">
        <color theme="0" tint="-0.34998626667073579"/>
      </right>
      <top/>
      <bottom style="thin">
        <color theme="0" tint="-0.34998626667073579"/>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theme="0" tint="-0.499984740745262"/>
      </left>
      <right style="thin">
        <color theme="0" tint="-0.499984740745262"/>
      </right>
      <top style="thin">
        <color theme="0" tint="-0.499984740745262"/>
      </top>
      <bottom/>
      <diagonal/>
    </border>
    <border>
      <left style="thin">
        <color theme="0" tint="-0.499984740745262"/>
      </left>
      <right style="thin">
        <color theme="0" tint="-0.499984740745262"/>
      </right>
      <top/>
      <bottom/>
      <diagonal/>
    </border>
    <border>
      <left style="thin">
        <color theme="0" tint="-0.499984740745262"/>
      </left>
      <right/>
      <top style="thin">
        <color theme="0" tint="-0.499984740745262"/>
      </top>
      <bottom style="thin">
        <color theme="0" tint="-0.499984740745262"/>
      </bottom>
      <diagonal/>
    </border>
    <border>
      <left style="thin">
        <color theme="0" tint="-0.499984740745262"/>
      </left>
      <right style="thin">
        <color theme="0" tint="-0.499984740745262"/>
      </right>
      <top/>
      <bottom style="thin">
        <color theme="0" tint="-0.499984740745262"/>
      </bottom>
      <diagonal/>
    </border>
    <border>
      <left style="medium">
        <color indexed="64"/>
      </left>
      <right style="thin">
        <color theme="0" tint="-0.34998626667073579"/>
      </right>
      <top style="medium">
        <color indexed="64"/>
      </top>
      <bottom style="thin">
        <color theme="0" tint="-0.34998626667073579"/>
      </bottom>
      <diagonal/>
    </border>
    <border>
      <left style="thin">
        <color theme="0" tint="-0.34998626667073579"/>
      </left>
      <right/>
      <top style="medium">
        <color indexed="64"/>
      </top>
      <bottom style="thin">
        <color theme="0" tint="-0.34998626667073579"/>
      </bottom>
      <diagonal/>
    </border>
    <border>
      <left style="medium">
        <color indexed="64"/>
      </left>
      <right/>
      <top style="medium">
        <color indexed="64"/>
      </top>
      <bottom style="thin">
        <color theme="0" tint="-0.34998626667073579"/>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thin">
        <color theme="0" tint="-0.34998626667073579"/>
      </right>
      <top style="medium">
        <color indexed="64"/>
      </top>
      <bottom style="thin">
        <color theme="0" tint="-0.34998626667073579"/>
      </bottom>
      <diagonal/>
    </border>
    <border>
      <left/>
      <right/>
      <top style="medium">
        <color indexed="64"/>
      </top>
      <bottom style="thin">
        <color theme="0" tint="-0.34998626667073579"/>
      </bottom>
      <diagonal/>
    </border>
    <border>
      <left style="thin">
        <color theme="0" tint="-0.34998626667073579"/>
      </left>
      <right style="medium">
        <color indexed="64"/>
      </right>
      <top style="medium">
        <color indexed="64"/>
      </top>
      <bottom style="thin">
        <color theme="0" tint="-0.34998626667073579"/>
      </bottom>
      <diagonal/>
    </border>
    <border>
      <left style="medium">
        <color indexed="64"/>
      </left>
      <right/>
      <top style="thin">
        <color theme="0" tint="-0.34998626667073579"/>
      </top>
      <bottom style="thin">
        <color indexed="64"/>
      </bottom>
      <diagonal/>
    </border>
    <border>
      <left/>
      <right style="medium">
        <color indexed="64"/>
      </right>
      <top style="thin">
        <color theme="0" tint="-0.34998626667073579"/>
      </top>
      <bottom style="thin">
        <color indexed="64"/>
      </bottom>
      <diagonal/>
    </border>
    <border>
      <left style="medium">
        <color indexed="64"/>
      </left>
      <right style="thin">
        <color theme="0" tint="-0.34998626667073579"/>
      </right>
      <top style="thin">
        <color theme="1" tint="0.499984740745262"/>
      </top>
      <bottom style="thin">
        <color indexed="64"/>
      </bottom>
      <diagonal/>
    </border>
    <border>
      <left/>
      <right/>
      <top style="thin">
        <color theme="1" tint="0.499984740745262"/>
      </top>
      <bottom style="thin">
        <color indexed="64"/>
      </bottom>
      <diagonal/>
    </border>
    <border>
      <left style="thin">
        <color theme="0" tint="-0.34998626667073579"/>
      </left>
      <right/>
      <top style="thin">
        <color theme="1" tint="0.499984740745262"/>
      </top>
      <bottom style="thin">
        <color indexed="64"/>
      </bottom>
      <diagonal/>
    </border>
    <border>
      <left style="medium">
        <color theme="1"/>
      </left>
      <right style="thin">
        <color theme="0" tint="-0.34998626667073579"/>
      </right>
      <top style="thin">
        <color theme="1" tint="0.499984740745262"/>
      </top>
      <bottom style="thin">
        <color indexed="64"/>
      </bottom>
      <diagonal/>
    </border>
    <border>
      <left style="thin">
        <color theme="0" tint="-0.34998626667073579"/>
      </left>
      <right style="medium">
        <color indexed="64"/>
      </right>
      <top style="thin">
        <color theme="1" tint="0.499984740745262"/>
      </top>
      <bottom style="thin">
        <color indexed="64"/>
      </bottom>
      <diagonal/>
    </border>
    <border>
      <left/>
      <right style="thin">
        <color theme="0" tint="-0.34998626667073579"/>
      </right>
      <top/>
      <bottom style="thin">
        <color indexed="64"/>
      </bottom>
      <diagonal/>
    </border>
    <border>
      <left/>
      <right/>
      <top/>
      <bottom style="thin">
        <color indexed="64"/>
      </bottom>
      <diagonal/>
    </border>
    <border>
      <left style="thin">
        <color theme="0" tint="-0.34998626667073579"/>
      </left>
      <right style="medium">
        <color indexed="64"/>
      </right>
      <top/>
      <bottom style="thin">
        <color indexed="64"/>
      </bottom>
      <diagonal/>
    </border>
    <border>
      <left style="medium">
        <color indexed="64"/>
      </left>
      <right/>
      <top style="thin">
        <color indexed="64"/>
      </top>
      <bottom style="thin">
        <color theme="1" tint="0.499984740745262"/>
      </bottom>
      <diagonal/>
    </border>
    <border>
      <left/>
      <right style="medium">
        <color indexed="64"/>
      </right>
      <top style="thin">
        <color indexed="64"/>
      </top>
      <bottom style="thin">
        <color theme="1" tint="0.499984740745262"/>
      </bottom>
      <diagonal/>
    </border>
    <border>
      <left style="medium">
        <color indexed="64"/>
      </left>
      <right/>
      <top/>
      <bottom style="thin">
        <color theme="0" tint="-0.34998626667073579"/>
      </bottom>
      <diagonal/>
    </border>
    <border>
      <left style="medium">
        <color indexed="64"/>
      </left>
      <right style="thin">
        <color theme="0" tint="-0.34998626667073579"/>
      </right>
      <top/>
      <bottom style="thin">
        <color theme="0" tint="-0.34998626667073579"/>
      </bottom>
      <diagonal/>
    </border>
    <border>
      <left style="thin">
        <color theme="0" tint="-0.34998626667073579"/>
      </left>
      <right/>
      <top/>
      <bottom style="thin">
        <color theme="0" tint="-0.34998626667073579"/>
      </bottom>
      <diagonal/>
    </border>
    <border>
      <left style="medium">
        <color indexed="64"/>
      </left>
      <right style="thin">
        <color theme="0" tint="-0.34998626667073579"/>
      </right>
      <top style="thin">
        <color indexed="64"/>
      </top>
      <bottom style="thin">
        <color theme="0" tint="-0.34998626667073579"/>
      </bottom>
      <diagonal/>
    </border>
    <border>
      <left style="thin">
        <color theme="0" tint="-0.34998626667073579"/>
      </left>
      <right style="thin">
        <color theme="0" tint="-0.34998626667073579"/>
      </right>
      <top style="thin">
        <color indexed="64"/>
      </top>
      <bottom style="thin">
        <color theme="0" tint="-0.34998626667073579"/>
      </bottom>
      <diagonal/>
    </border>
    <border>
      <left style="thin">
        <color theme="0" tint="-0.34998626667073579"/>
      </left>
      <right style="medium">
        <color indexed="64"/>
      </right>
      <top style="thin">
        <color indexed="64"/>
      </top>
      <bottom style="thin">
        <color theme="0" tint="-0.34998626667073579"/>
      </bottom>
      <diagonal/>
    </border>
    <border>
      <left/>
      <right style="thin">
        <color theme="0" tint="-0.34998626667073579"/>
      </right>
      <top/>
      <bottom style="thin">
        <color theme="0" tint="-0.34998626667073579"/>
      </bottom>
      <diagonal/>
    </border>
    <border>
      <left style="thin">
        <color theme="0" tint="-0.34998626667073579"/>
      </left>
      <right style="medium">
        <color indexed="64"/>
      </right>
      <top/>
      <bottom style="thin">
        <color theme="0" tint="-0.34998626667073579"/>
      </bottom>
      <diagonal/>
    </border>
    <border>
      <left style="medium">
        <color indexed="64"/>
      </left>
      <right style="thin">
        <color theme="0" tint="-0.34998626667073579"/>
      </right>
      <top style="thin">
        <color theme="1" tint="0.499984740745262"/>
      </top>
      <bottom/>
      <diagonal/>
    </border>
    <border>
      <left style="thin">
        <color theme="0" tint="-0.34998626667073579"/>
      </left>
      <right style="medium">
        <color indexed="64"/>
      </right>
      <top style="thin">
        <color theme="1" tint="0.499984740745262"/>
      </top>
      <bottom/>
      <diagonal/>
    </border>
    <border>
      <left style="medium">
        <color indexed="64"/>
      </left>
      <right/>
      <top/>
      <bottom/>
      <diagonal/>
    </border>
    <border>
      <left style="medium">
        <color indexed="64"/>
      </left>
      <right style="thin">
        <color theme="0" tint="-0.34998626667073579"/>
      </right>
      <top/>
      <bottom/>
      <diagonal/>
    </border>
    <border>
      <left style="thin">
        <color theme="0" tint="-0.34998626667073579"/>
      </left>
      <right style="thin">
        <color theme="0" tint="-0.34998626667073579"/>
      </right>
      <top/>
      <bottom/>
      <diagonal/>
    </border>
    <border>
      <left style="thin">
        <color theme="0" tint="-0.34998626667073579"/>
      </left>
      <right/>
      <top/>
      <bottom/>
      <diagonal/>
    </border>
    <border>
      <left style="thin">
        <color theme="0" tint="-0.34998626667073579"/>
      </left>
      <right/>
      <top style="thin">
        <color indexed="64"/>
      </top>
      <bottom style="thin">
        <color theme="0" tint="-0.34998626667073579"/>
      </bottom>
      <diagonal/>
    </border>
    <border>
      <left style="medium">
        <color indexed="64"/>
      </left>
      <right/>
      <top style="thin">
        <color indexed="64"/>
      </top>
      <bottom style="thin">
        <color theme="0" tint="-0.34998626667073579"/>
      </bottom>
      <diagonal/>
    </border>
    <border>
      <left/>
      <right style="thin">
        <color theme="0" tint="-0.34998626667073579"/>
      </right>
      <top style="thin">
        <color indexed="64"/>
      </top>
      <bottom style="thin">
        <color theme="0" tint="-0.34998626667073579"/>
      </bottom>
      <diagonal/>
    </border>
    <border>
      <left style="medium">
        <color indexed="64"/>
      </left>
      <right style="thin">
        <color theme="0" tint="-0.34998626667073579"/>
      </right>
      <top style="thin">
        <color theme="0" tint="-0.34998626667073579"/>
      </top>
      <bottom style="thin">
        <color indexed="64"/>
      </bottom>
      <diagonal/>
    </border>
    <border>
      <left style="thin">
        <color theme="0" tint="-0.34998626667073579"/>
      </left>
      <right/>
      <top style="thin">
        <color theme="0" tint="-0.34998626667073579"/>
      </top>
      <bottom style="thin">
        <color indexed="64"/>
      </bottom>
      <diagonal/>
    </border>
    <border>
      <left/>
      <right/>
      <top style="thin">
        <color theme="0" tint="-0.34998626667073579"/>
      </top>
      <bottom style="thin">
        <color indexed="64"/>
      </bottom>
      <diagonal/>
    </border>
    <border>
      <left style="medium">
        <color indexed="64"/>
      </left>
      <right style="thin">
        <color theme="0" tint="-0.34998626667073579"/>
      </right>
      <top style="thin">
        <color theme="0" tint="-0.34998626667073579"/>
      </top>
      <bottom style="thin">
        <color theme="0" tint="-0.34998626667073579"/>
      </bottom>
      <diagonal/>
    </border>
    <border>
      <left style="medium">
        <color indexed="64"/>
      </left>
      <right/>
      <top style="thin">
        <color theme="0" tint="-0.34998626667073579"/>
      </top>
      <bottom style="thin">
        <color theme="0" tint="-0.34998626667073579"/>
      </bottom>
      <diagonal/>
    </border>
    <border>
      <left/>
      <right style="medium">
        <color indexed="64"/>
      </right>
      <top style="thin">
        <color theme="0" tint="-0.34998626667073579"/>
      </top>
      <bottom style="thin">
        <color theme="0" tint="-0.34998626667073579"/>
      </bottom>
      <diagonal/>
    </border>
    <border>
      <left style="thin">
        <color theme="0" tint="-0.34998626667073579"/>
      </left>
      <right style="medium">
        <color indexed="64"/>
      </right>
      <top style="thin">
        <color theme="0" tint="-0.34998626667073579"/>
      </top>
      <bottom style="thin">
        <color theme="0" tint="-0.34998626667073579"/>
      </bottom>
      <diagonal/>
    </border>
    <border>
      <left style="medium">
        <color indexed="64"/>
      </left>
      <right style="thin">
        <color theme="0" tint="-0.34998626667073579"/>
      </right>
      <top style="thin">
        <color theme="0" tint="-0.34998626667073579"/>
      </top>
      <bottom/>
      <diagonal/>
    </border>
    <border>
      <left style="thin">
        <color theme="0" tint="-0.34998626667073579"/>
      </left>
      <right/>
      <top style="thin">
        <color theme="0" tint="-0.34998626667073579"/>
      </top>
      <bottom/>
      <diagonal/>
    </border>
    <border>
      <left style="medium">
        <color indexed="64"/>
      </left>
      <right/>
      <top style="thin">
        <color theme="0" tint="-0.34998626667073579"/>
      </top>
      <bottom/>
      <diagonal/>
    </border>
    <border>
      <left style="thin">
        <color theme="0" tint="-0.34998626667073579"/>
      </left>
      <right style="medium">
        <color indexed="64"/>
      </right>
      <top style="thin">
        <color theme="0" tint="-0.34998626667073579"/>
      </top>
      <bottom/>
      <diagonal/>
    </border>
    <border>
      <left/>
      <right style="thin">
        <color theme="0" tint="-0.34998626667073579"/>
      </right>
      <top style="thin">
        <color theme="0" tint="-0.34998626667073579"/>
      </top>
      <bottom/>
      <diagonal/>
    </border>
    <border>
      <left style="medium">
        <color indexed="64"/>
      </left>
      <right style="thin">
        <color theme="0" tint="-0.34998626667073579"/>
      </right>
      <top style="thin">
        <color theme="0" tint="-0.34998626667073579"/>
      </top>
      <bottom style="medium">
        <color indexed="64"/>
      </bottom>
      <diagonal/>
    </border>
    <border>
      <left style="thin">
        <color theme="0" tint="-0.34998626667073579"/>
      </left>
      <right style="thin">
        <color theme="0" tint="-0.34998626667073579"/>
      </right>
      <top style="thin">
        <color theme="0" tint="-0.34998626667073579"/>
      </top>
      <bottom style="medium">
        <color indexed="64"/>
      </bottom>
      <diagonal/>
    </border>
    <border>
      <left style="thin">
        <color theme="0" tint="-0.34998626667073579"/>
      </left>
      <right/>
      <top style="thin">
        <color theme="0" tint="-0.34998626667073579"/>
      </top>
      <bottom style="medium">
        <color indexed="64"/>
      </bottom>
      <diagonal/>
    </border>
    <border>
      <left style="thin">
        <color theme="0" tint="-0.34998626667073579"/>
      </left>
      <right style="medium">
        <color indexed="64"/>
      </right>
      <top style="thin">
        <color theme="0" tint="-0.34998626667073579"/>
      </top>
      <bottom style="medium">
        <color indexed="64"/>
      </bottom>
      <diagonal/>
    </border>
    <border>
      <left style="thin">
        <color theme="0" tint="-0.34998626667073579"/>
      </left>
      <right style="thin">
        <color theme="0" tint="-0.34998626667073579"/>
      </right>
      <top style="medium">
        <color indexed="64"/>
      </top>
      <bottom style="thin">
        <color theme="0" tint="-0.34998626667073579"/>
      </bottom>
      <diagonal/>
    </border>
    <border>
      <left style="medium">
        <color indexed="64"/>
      </left>
      <right/>
      <top style="thin">
        <color theme="0" tint="-0.34998626667073579"/>
      </top>
      <bottom style="medium">
        <color indexed="64"/>
      </bottom>
      <diagonal/>
    </border>
    <border>
      <left/>
      <right style="thin">
        <color theme="0" tint="-0.34998626667073579"/>
      </right>
      <top style="thin">
        <color theme="0" tint="-0.34998626667073579"/>
      </top>
      <bottom style="medium">
        <color indexed="64"/>
      </bottom>
      <diagonal/>
    </border>
    <border>
      <left/>
      <right/>
      <top/>
      <bottom style="thin">
        <color theme="0" tint="-0.34998626667073579"/>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theme="1" tint="0.499984740745262"/>
      </right>
      <top style="medium">
        <color indexed="64"/>
      </top>
      <bottom style="medium">
        <color indexed="64"/>
      </bottom>
      <diagonal/>
    </border>
    <border>
      <left style="thin">
        <color theme="1" tint="0.499984740745262"/>
      </left>
      <right/>
      <top style="medium">
        <color indexed="64"/>
      </top>
      <bottom style="medium">
        <color indexed="64"/>
      </bottom>
      <diagonal/>
    </border>
    <border>
      <left style="medium">
        <color indexed="64"/>
      </left>
      <right style="thin">
        <color theme="1" tint="0.499984740745262"/>
      </right>
      <top style="medium">
        <color indexed="64"/>
      </top>
      <bottom style="thin">
        <color theme="1" tint="0.499984740745262"/>
      </bottom>
      <diagonal/>
    </border>
    <border>
      <left style="thin">
        <color theme="1" tint="0.499984740745262"/>
      </left>
      <right/>
      <top style="medium">
        <color indexed="64"/>
      </top>
      <bottom style="thin">
        <color theme="1" tint="0.499984740745262"/>
      </bottom>
      <diagonal/>
    </border>
    <border>
      <left style="thin">
        <color theme="1" tint="0.499984740745262"/>
      </left>
      <right style="thin">
        <color theme="1" tint="0.499984740745262"/>
      </right>
      <top style="medium">
        <color indexed="64"/>
      </top>
      <bottom style="thin">
        <color theme="1" tint="0.499984740745262"/>
      </bottom>
      <diagonal/>
    </border>
    <border>
      <left style="thin">
        <color theme="1" tint="0.499984740745262"/>
      </left>
      <right style="medium">
        <color indexed="64"/>
      </right>
      <top style="medium">
        <color indexed="64"/>
      </top>
      <bottom style="thin">
        <color theme="1" tint="0.499984740745262"/>
      </bottom>
      <diagonal/>
    </border>
    <border>
      <left style="medium">
        <color indexed="64"/>
      </left>
      <right/>
      <top/>
      <bottom style="medium">
        <color indexed="64"/>
      </bottom>
      <diagonal/>
    </border>
    <border>
      <left/>
      <right/>
      <top/>
      <bottom style="medium">
        <color indexed="64"/>
      </bottom>
      <diagonal/>
    </border>
    <border>
      <left style="medium">
        <color indexed="64"/>
      </left>
      <right style="thin">
        <color theme="1" tint="0.499984740745262"/>
      </right>
      <top style="thin">
        <color theme="1" tint="0.499984740745262"/>
      </top>
      <bottom style="medium">
        <color indexed="64"/>
      </bottom>
      <diagonal/>
    </border>
    <border>
      <left style="thin">
        <color theme="1" tint="0.499984740745262"/>
      </left>
      <right/>
      <top style="thin">
        <color theme="1" tint="0.499984740745262"/>
      </top>
      <bottom style="medium">
        <color indexed="64"/>
      </bottom>
      <diagonal/>
    </border>
    <border>
      <left style="thin">
        <color theme="1" tint="0.499984740745262"/>
      </left>
      <right style="thin">
        <color theme="1" tint="0.499984740745262"/>
      </right>
      <top style="thin">
        <color theme="1" tint="0.499984740745262"/>
      </top>
      <bottom style="medium">
        <color indexed="64"/>
      </bottom>
      <diagonal/>
    </border>
    <border>
      <left style="thin">
        <color theme="1" tint="0.499984740745262"/>
      </left>
      <right style="medium">
        <color indexed="64"/>
      </right>
      <top style="thin">
        <color theme="1" tint="0.499984740745262"/>
      </top>
      <bottom style="medium">
        <color indexed="64"/>
      </bottom>
      <diagonal/>
    </border>
    <border>
      <left style="medium">
        <color indexed="64"/>
      </left>
      <right style="thin">
        <color theme="1" tint="0.499984740745262"/>
      </right>
      <top style="thin">
        <color theme="1" tint="0.499984740745262"/>
      </top>
      <bottom style="thin">
        <color theme="1" tint="0.499984740745262"/>
      </bottom>
      <diagonal/>
    </border>
    <border>
      <left style="thin">
        <color theme="1" tint="0.499984740745262"/>
      </left>
      <right/>
      <top style="thin">
        <color theme="1" tint="0.499984740745262"/>
      </top>
      <bottom style="thin">
        <color theme="1" tint="0.499984740745262"/>
      </bottom>
      <diagonal/>
    </border>
    <border>
      <left style="thin">
        <color theme="1" tint="0.499984740745262"/>
      </left>
      <right style="thin">
        <color theme="1" tint="0.499984740745262"/>
      </right>
      <top style="thin">
        <color theme="1" tint="0.499984740745262"/>
      </top>
      <bottom style="thin">
        <color theme="1" tint="0.499984740745262"/>
      </bottom>
      <diagonal/>
    </border>
    <border>
      <left style="thin">
        <color theme="1" tint="0.499984740745262"/>
      </left>
      <right style="medium">
        <color indexed="64"/>
      </right>
      <top style="thin">
        <color theme="1" tint="0.499984740745262"/>
      </top>
      <bottom style="thin">
        <color theme="1" tint="0.499984740745262"/>
      </bottom>
      <diagonal/>
    </border>
    <border>
      <left/>
      <right style="thin">
        <color theme="1" tint="0.499984740745262"/>
      </right>
      <top style="thin">
        <color theme="1" tint="0.499984740745262"/>
      </top>
      <bottom style="thin">
        <color theme="1" tint="0.499984740745262"/>
      </bottom>
      <diagonal/>
    </border>
    <border>
      <left/>
      <right style="thin">
        <color theme="1" tint="0.499984740745262"/>
      </right>
      <top style="thin">
        <color theme="1" tint="0.499984740745262"/>
      </top>
      <bottom style="medium">
        <color indexed="64"/>
      </bottom>
      <diagonal/>
    </border>
    <border>
      <left/>
      <right style="medium">
        <color indexed="64"/>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thin">
        <color theme="0" tint="-0.249977111117893"/>
      </left>
      <right/>
      <top style="thin">
        <color theme="0" tint="-0.249977111117893"/>
      </top>
      <bottom style="thin">
        <color theme="0" tint="-0.249977111117893"/>
      </bottom>
      <diagonal/>
    </border>
    <border>
      <left/>
      <right style="thin">
        <color theme="0" tint="-0.249977111117893"/>
      </right>
      <top style="thin">
        <color theme="0" tint="-0.249977111117893"/>
      </top>
      <bottom style="thin">
        <color theme="0" tint="-0.249977111117893"/>
      </bottom>
      <diagonal/>
    </border>
    <border>
      <left/>
      <right/>
      <top style="thin">
        <color theme="0" tint="-0.249977111117893"/>
      </top>
      <bottom style="thin">
        <color theme="0" tint="-0.249977111117893"/>
      </bottom>
      <diagonal/>
    </border>
    <border>
      <left style="thin">
        <color theme="0" tint="-0.249977111117893"/>
      </left>
      <right style="thin">
        <color theme="0" tint="-0.249977111117893"/>
      </right>
      <top style="thin">
        <color theme="0" tint="-0.249977111117893"/>
      </top>
      <bottom/>
      <diagonal/>
    </border>
    <border>
      <left style="thin">
        <color theme="0" tint="-0.34998626667073579"/>
      </left>
      <right style="thin">
        <color theme="0" tint="-0.249977111117893"/>
      </right>
      <top style="thin">
        <color theme="0" tint="-0.34998626667073579"/>
      </top>
      <bottom/>
      <diagonal/>
    </border>
    <border>
      <left style="thin">
        <color theme="0" tint="-0.34998626667073579"/>
      </left>
      <right style="thin">
        <color theme="0" tint="-0.249977111117893"/>
      </right>
      <top/>
      <bottom/>
      <diagonal/>
    </border>
    <border>
      <left style="thin">
        <color theme="0" tint="-0.34998626667073579"/>
      </left>
      <right style="thin">
        <color theme="0" tint="-0.249977111117893"/>
      </right>
      <top/>
      <bottom style="thin">
        <color theme="0" tint="-0.34998626667073579"/>
      </bottom>
      <diagonal/>
    </border>
    <border>
      <left style="medium">
        <color rgb="FFD5D3D1"/>
      </left>
      <right style="medium">
        <color rgb="FFD5D3D1"/>
      </right>
      <top/>
      <bottom style="medium">
        <color rgb="FFD5D3D1"/>
      </bottom>
      <diagonal/>
    </border>
    <border>
      <left/>
      <right style="medium">
        <color rgb="FFD5D3D1"/>
      </right>
      <top/>
      <bottom style="medium">
        <color rgb="FFD5D3D1"/>
      </bottom>
      <diagonal/>
    </border>
    <border>
      <left style="thin">
        <color indexed="64"/>
      </left>
      <right style="thin">
        <color indexed="64"/>
      </right>
      <top style="thin">
        <color indexed="64"/>
      </top>
      <bottom style="thin">
        <color indexed="64"/>
      </bottom>
      <diagonal/>
    </border>
    <border>
      <left style="double">
        <color indexed="64"/>
      </left>
      <right/>
      <top style="double">
        <color indexed="64"/>
      </top>
      <bottom/>
      <diagonal/>
    </border>
    <border>
      <left/>
      <right/>
      <top style="thin">
        <color indexed="64"/>
      </top>
      <bottom style="thin">
        <color indexed="64"/>
      </bottom>
      <diagonal/>
    </border>
    <border>
      <left style="thin">
        <color indexed="8"/>
      </left>
      <right/>
      <top/>
      <bottom style="thin">
        <color indexed="8"/>
      </bottom>
      <diagonal/>
    </border>
    <border>
      <left style="medium">
        <color indexed="8"/>
      </left>
      <right style="thin">
        <color indexed="8"/>
      </right>
      <top/>
      <bottom/>
      <diagonal/>
    </border>
    <border>
      <left/>
      <right style="thin">
        <color indexed="8"/>
      </right>
      <top style="thin">
        <color indexed="8"/>
      </top>
      <bottom style="thin">
        <color indexed="8"/>
      </bottom>
      <diagonal/>
    </border>
    <border>
      <left style="thin">
        <color indexed="8"/>
      </left>
      <right/>
      <top style="thin">
        <color indexed="8"/>
      </top>
      <bottom/>
      <diagonal/>
    </border>
  </borders>
  <cellStyleXfs count="167">
    <xf numFmtId="0" fontId="0" fillId="0" borderId="0"/>
    <xf numFmtId="41" fontId="1" fillId="0" borderId="0" applyFont="0" applyFill="0" applyBorder="0" applyAlignment="0" applyProtection="0"/>
    <xf numFmtId="9" fontId="1" fillId="0" borderId="0" applyFont="0" applyFill="0" applyBorder="0" applyAlignment="0" applyProtection="0"/>
    <xf numFmtId="0" fontId="8" fillId="0" borderId="0" applyNumberFormat="0" applyFill="0" applyBorder="0" applyAlignment="0" applyProtection="0"/>
    <xf numFmtId="43" fontId="1" fillId="0" borderId="0" applyFont="0" applyFill="0" applyBorder="0" applyAlignment="0" applyProtection="0"/>
    <xf numFmtId="0" fontId="42" fillId="0" borderId="0">
      <alignment vertical="center"/>
    </xf>
    <xf numFmtId="41" fontId="42" fillId="0" borderId="0" applyFont="0" applyFill="0" applyBorder="0" applyAlignment="0" applyProtection="0">
      <alignment vertical="center"/>
    </xf>
    <xf numFmtId="9" fontId="42" fillId="0" borderId="0" applyFont="0" applyFill="0" applyBorder="0" applyAlignment="0" applyProtection="0">
      <alignment vertical="center"/>
    </xf>
    <xf numFmtId="0" fontId="44" fillId="14" borderId="0" applyNumberFormat="0" applyBorder="0" applyAlignment="0" applyProtection="0">
      <alignment vertical="center"/>
    </xf>
    <xf numFmtId="0" fontId="45" fillId="16" borderId="0" applyNumberFormat="0" applyBorder="0" applyAlignment="0" applyProtection="0">
      <alignment vertical="center"/>
    </xf>
    <xf numFmtId="0" fontId="50" fillId="0" borderId="0"/>
    <xf numFmtId="0" fontId="62" fillId="0" borderId="0"/>
    <xf numFmtId="0" fontId="51" fillId="0" borderId="0" applyFill="0" applyBorder="0" applyAlignment="0"/>
    <xf numFmtId="0" fontId="51" fillId="0" borderId="0" applyFill="0" applyBorder="0" applyAlignment="0"/>
    <xf numFmtId="192" fontId="51" fillId="0" borderId="0" applyFill="0" applyBorder="0" applyAlignment="0"/>
    <xf numFmtId="190" fontId="51" fillId="0" borderId="0" applyFill="0" applyBorder="0" applyAlignment="0"/>
    <xf numFmtId="193" fontId="51" fillId="0" borderId="0" applyFill="0" applyBorder="0" applyAlignment="0"/>
    <xf numFmtId="0" fontId="51" fillId="0" borderId="0" applyFill="0" applyBorder="0" applyAlignment="0"/>
    <xf numFmtId="191" fontId="51" fillId="0" borderId="0" applyFill="0" applyBorder="0" applyAlignment="0"/>
    <xf numFmtId="0" fontId="51" fillId="0" borderId="0" applyFill="0" applyBorder="0" applyAlignment="0"/>
    <xf numFmtId="43" fontId="51" fillId="0" borderId="0" applyFont="0" applyFill="0" applyBorder="0" applyAlignment="0" applyProtection="0"/>
    <xf numFmtId="0"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186" fontId="51" fillId="0" borderId="0" applyFont="0" applyFill="0" applyBorder="0" applyAlignment="0" applyProtection="0"/>
    <xf numFmtId="0"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14" fontId="55" fillId="0" borderId="0" applyFill="0" applyBorder="0" applyAlignment="0"/>
    <xf numFmtId="0" fontId="51" fillId="0" borderId="0" applyFill="0" applyBorder="0" applyAlignment="0"/>
    <xf numFmtId="0" fontId="51" fillId="0" borderId="0" applyFill="0" applyBorder="0" applyAlignment="0"/>
    <xf numFmtId="0" fontId="51" fillId="0" borderId="0" applyFill="0" applyBorder="0" applyAlignment="0"/>
    <xf numFmtId="191" fontId="51" fillId="0" borderId="0" applyFill="0" applyBorder="0" applyAlignment="0"/>
    <xf numFmtId="0" fontId="51" fillId="0" borderId="0" applyFill="0" applyBorder="0" applyAlignment="0"/>
    <xf numFmtId="0" fontId="64" fillId="14" borderId="0" applyNumberFormat="0" applyBorder="0" applyAlignment="0" applyProtection="0"/>
    <xf numFmtId="0" fontId="64" fillId="14" borderId="0" applyNumberFormat="0" applyBorder="0" applyAlignment="0" applyProtection="0"/>
    <xf numFmtId="0" fontId="54" fillId="0" borderId="105" applyFill="0" applyBorder="0"/>
    <xf numFmtId="0" fontId="52" fillId="0" borderId="105" applyBorder="0">
      <alignment horizontal="center" vertical="center"/>
    </xf>
    <xf numFmtId="0" fontId="56" fillId="0" borderId="105" applyBorder="0">
      <alignment horizontal="center" vertical="center"/>
    </xf>
    <xf numFmtId="0" fontId="57" fillId="0" borderId="74" applyNumberFormat="0" applyAlignment="0" applyProtection="0">
      <alignment horizontal="left" vertical="center"/>
    </xf>
    <xf numFmtId="0" fontId="57" fillId="0" borderId="106">
      <alignment horizontal="left" vertical="center"/>
    </xf>
    <xf numFmtId="0" fontId="57" fillId="0" borderId="0" applyFill="0" applyBorder="0" applyAlignment="0">
      <alignment vertical="center"/>
    </xf>
    <xf numFmtId="0" fontId="57" fillId="0" borderId="0" applyFill="0" applyBorder="0" applyAlignment="0">
      <alignment vertical="center"/>
    </xf>
    <xf numFmtId="0" fontId="58" fillId="0" borderId="105" applyBorder="0">
      <alignment horizontal="center" vertical="center"/>
    </xf>
    <xf numFmtId="0" fontId="51" fillId="0" borderId="0" applyFill="0" applyBorder="0" applyAlignment="0"/>
    <xf numFmtId="0" fontId="51" fillId="0" borderId="0" applyFill="0" applyBorder="0" applyAlignment="0"/>
    <xf numFmtId="0" fontId="51" fillId="0" borderId="0" applyFill="0" applyBorder="0" applyAlignment="0"/>
    <xf numFmtId="191" fontId="51" fillId="0" borderId="0" applyFill="0" applyBorder="0" applyAlignment="0"/>
    <xf numFmtId="0" fontId="51" fillId="0" borderId="0" applyFill="0" applyBorder="0" applyAlignment="0"/>
    <xf numFmtId="188" fontId="59" fillId="0" borderId="0"/>
    <xf numFmtId="0" fontId="50" fillId="0" borderId="0"/>
    <xf numFmtId="0" fontId="50" fillId="0" borderId="0"/>
    <xf numFmtId="0" fontId="63" fillId="0" borderId="0"/>
    <xf numFmtId="0" fontId="50" fillId="0" borderId="0"/>
    <xf numFmtId="0" fontId="50" fillId="0" borderId="0"/>
    <xf numFmtId="0" fontId="50" fillId="0" borderId="0"/>
    <xf numFmtId="0" fontId="50" fillId="0" borderId="0"/>
    <xf numFmtId="0" fontId="65" fillId="0" borderId="0">
      <alignment vertical="center"/>
    </xf>
    <xf numFmtId="9" fontId="51" fillId="0" borderId="0" applyFont="0" applyFill="0" applyBorder="0" applyAlignment="0" applyProtection="0"/>
    <xf numFmtId="193" fontId="51" fillId="0" borderId="0" applyFont="0" applyFill="0" applyBorder="0" applyAlignment="0" applyProtection="0"/>
    <xf numFmtId="187"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0" fontId="51" fillId="0" borderId="0" applyFill="0" applyBorder="0" applyAlignment="0"/>
    <xf numFmtId="0" fontId="51" fillId="0" borderId="0" applyFill="0" applyBorder="0" applyAlignment="0"/>
    <xf numFmtId="0" fontId="51" fillId="0" borderId="0" applyFill="0" applyBorder="0" applyAlignment="0"/>
    <xf numFmtId="191" fontId="51" fillId="0" borderId="0" applyFill="0" applyBorder="0" applyAlignment="0"/>
    <xf numFmtId="0" fontId="51" fillId="0" borderId="0" applyFill="0" applyBorder="0" applyAlignment="0"/>
    <xf numFmtId="0" fontId="60" fillId="0" borderId="107" applyNumberFormat="0" applyFill="0" applyBorder="0">
      <alignment horizontal="centerContinuous" vertical="center" wrapText="1"/>
      <protection locked="0"/>
    </xf>
    <xf numFmtId="0" fontId="54" fillId="18" borderId="108" applyFill="0" applyBorder="0">
      <alignment horizontal="left" vertical="center"/>
    </xf>
    <xf numFmtId="0" fontId="54" fillId="18" borderId="108" applyFill="0" applyBorder="0">
      <alignment horizontal="center" vertical="center"/>
    </xf>
    <xf numFmtId="0" fontId="54" fillId="18" borderId="109" applyNumberFormat="0" applyFill="0" applyBorder="0" applyProtection="0">
      <alignment horizontal="centerContinuous"/>
    </xf>
    <xf numFmtId="0" fontId="61" fillId="0" borderId="107" applyFill="0" applyBorder="0" applyProtection="0">
      <alignment vertical="center"/>
      <protection locked="0"/>
    </xf>
    <xf numFmtId="0" fontId="52" fillId="0" borderId="0" applyFill="0" applyBorder="0">
      <alignment vertical="center"/>
    </xf>
    <xf numFmtId="0" fontId="53" fillId="18" borderId="110" applyFill="0" applyBorder="0" applyAlignment="0">
      <alignment horizontal="center" vertical="center"/>
    </xf>
    <xf numFmtId="0" fontId="52" fillId="0" borderId="0" applyFill="0" applyBorder="0">
      <alignment horizontal="centerContinuous" vertical="center"/>
    </xf>
    <xf numFmtId="0" fontId="54" fillId="0" borderId="0" applyNumberFormat="0" applyFill="0" applyBorder="0">
      <alignment vertical="center"/>
    </xf>
    <xf numFmtId="49" fontId="55" fillId="0" borderId="0" applyFill="0" applyBorder="0" applyAlignment="0"/>
    <xf numFmtId="0" fontId="51" fillId="0" borderId="0" applyFill="0" applyBorder="0" applyAlignment="0"/>
    <xf numFmtId="0" fontId="51" fillId="0" borderId="0" applyFill="0" applyBorder="0" applyAlignment="0"/>
    <xf numFmtId="0" fontId="51" fillId="0" borderId="0" applyFont="0" applyFill="0" applyBorder="0" applyAlignment="0" applyProtection="0"/>
    <xf numFmtId="0" fontId="51" fillId="0" borderId="0" applyFont="0" applyFill="0" applyBorder="0" applyAlignment="0" applyProtection="0"/>
    <xf numFmtId="0" fontId="51" fillId="0" borderId="0"/>
    <xf numFmtId="189" fontId="51" fillId="0" borderId="0" applyFont="0" applyFill="0" applyBorder="0" applyAlignment="0" applyProtection="0"/>
    <xf numFmtId="0" fontId="51" fillId="0" borderId="0" applyFont="0" applyFill="0" applyBorder="0" applyAlignment="0" applyProtection="0"/>
    <xf numFmtId="43" fontId="51" fillId="0" borderId="0" applyFont="0" applyFill="0" applyBorder="0" applyAlignment="0" applyProtection="0"/>
    <xf numFmtId="43" fontId="43" fillId="0" borderId="0" applyFont="0" applyFill="0" applyBorder="0" applyAlignment="0" applyProtection="0"/>
    <xf numFmtId="43" fontId="51" fillId="0" borderId="0" applyFont="0" applyFill="0" applyBorder="0" applyAlignment="0" applyProtection="0"/>
    <xf numFmtId="43"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186" fontId="51" fillId="0" borderId="0" applyFont="0" applyFill="0" applyBorder="0" applyAlignment="0" applyProtection="0"/>
    <xf numFmtId="0" fontId="64" fillId="14" borderId="0" applyNumberFormat="0" applyBorder="0" applyAlignment="0" applyProtection="0"/>
    <xf numFmtId="0" fontId="57" fillId="0" borderId="0" applyFill="0" applyBorder="0" applyAlignment="0">
      <alignment vertical="center"/>
    </xf>
    <xf numFmtId="0" fontId="50" fillId="0" borderId="0"/>
    <xf numFmtId="0" fontId="50" fillId="0" borderId="0"/>
    <xf numFmtId="0" fontId="50" fillId="0" borderId="0"/>
    <xf numFmtId="0" fontId="43" fillId="0" borderId="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9" fontId="51" fillId="0" borderId="0" applyFont="0" applyFill="0" applyBorder="0" applyAlignment="0" applyProtection="0"/>
    <xf numFmtId="0" fontId="57" fillId="0" borderId="74" applyNumberFormat="0" applyAlignment="0" applyProtection="0">
      <alignment horizontal="left" vertical="center"/>
    </xf>
    <xf numFmtId="0" fontId="57" fillId="0" borderId="74" applyNumberFormat="0" applyAlignment="0" applyProtection="0">
      <alignment horizontal="left" vertical="center"/>
    </xf>
    <xf numFmtId="0" fontId="43" fillId="0" borderId="0"/>
    <xf numFmtId="0" fontId="55" fillId="0" borderId="0"/>
    <xf numFmtId="0" fontId="66" fillId="0" borderId="0"/>
    <xf numFmtId="0" fontId="43" fillId="0" borderId="0"/>
    <xf numFmtId="0" fontId="51" fillId="0" borderId="0"/>
    <xf numFmtId="0" fontId="43" fillId="0" borderId="0"/>
    <xf numFmtId="0" fontId="50" fillId="0" borderId="0"/>
    <xf numFmtId="43" fontId="51" fillId="0" borderId="0" applyFont="0" applyFill="0" applyBorder="0" applyAlignment="0" applyProtection="0"/>
    <xf numFmtId="186" fontId="51" fillId="0" borderId="0" applyFont="0" applyFill="0" applyBorder="0" applyAlignment="0" applyProtection="0"/>
    <xf numFmtId="0" fontId="64" fillId="14" borderId="0" applyNumberFormat="0" applyBorder="0" applyAlignment="0" applyProtection="0"/>
    <xf numFmtId="0" fontId="57" fillId="0" borderId="0" applyFill="0" applyBorder="0" applyAlignment="0">
      <alignment vertical="center"/>
    </xf>
    <xf numFmtId="0" fontId="50" fillId="0" borderId="0"/>
    <xf numFmtId="0" fontId="50" fillId="0" borderId="0"/>
    <xf numFmtId="9" fontId="51" fillId="0" borderId="0" applyFont="0" applyFill="0" applyBorder="0" applyAlignment="0" applyProtection="0"/>
    <xf numFmtId="43" fontId="43" fillId="0" borderId="0" applyFont="0" applyFill="0" applyBorder="0" applyAlignment="0" applyProtection="0"/>
    <xf numFmtId="0" fontId="43" fillId="0" borderId="0"/>
    <xf numFmtId="0" fontId="43" fillId="0" borderId="0"/>
    <xf numFmtId="41" fontId="50" fillId="0" borderId="0" applyFont="0" applyFill="0" applyBorder="0" applyAlignment="0" applyProtection="0"/>
    <xf numFmtId="0" fontId="50" fillId="0" borderId="0"/>
    <xf numFmtId="43" fontId="51" fillId="0" borderId="0" applyFont="0" applyFill="0" applyBorder="0" applyAlignment="0" applyProtection="0"/>
    <xf numFmtId="186" fontId="51" fillId="0" borderId="0" applyFont="0" applyFill="0" applyBorder="0" applyAlignment="0" applyProtection="0"/>
    <xf numFmtId="9" fontId="51" fillId="0" borderId="0" applyFont="0" applyFill="0" applyBorder="0" applyAlignment="0" applyProtection="0"/>
    <xf numFmtId="0" fontId="50" fillId="0" borderId="0"/>
    <xf numFmtId="43" fontId="51" fillId="0" borderId="0" applyFont="0" applyFill="0" applyBorder="0" applyAlignment="0" applyProtection="0"/>
    <xf numFmtId="186" fontId="51" fillId="0" borderId="0" applyFont="0" applyFill="0" applyBorder="0" applyAlignment="0" applyProtection="0"/>
    <xf numFmtId="0" fontId="67" fillId="0" borderId="0" applyNumberFormat="0" applyFill="0" applyBorder="0" applyAlignment="0" applyProtection="0">
      <alignment vertical="top"/>
      <protection locked="0"/>
    </xf>
    <xf numFmtId="9" fontId="51" fillId="0" borderId="0" applyFont="0" applyFill="0" applyBorder="0" applyAlignment="0" applyProtection="0"/>
    <xf numFmtId="43" fontId="43" fillId="0" borderId="0" applyFont="0" applyFill="0" applyBorder="0" applyAlignment="0" applyProtection="0"/>
    <xf numFmtId="0" fontId="43" fillId="0" borderId="0"/>
    <xf numFmtId="0" fontId="43" fillId="0" borderId="0"/>
    <xf numFmtId="0" fontId="43" fillId="0" borderId="0"/>
    <xf numFmtId="0" fontId="43" fillId="0" borderId="0"/>
    <xf numFmtId="43" fontId="43" fillId="0" borderId="0" applyFont="0" applyFill="0" applyBorder="0" applyAlignment="0" applyProtection="0"/>
    <xf numFmtId="0" fontId="43" fillId="0" borderId="0"/>
    <xf numFmtId="0" fontId="43" fillId="0" borderId="0"/>
    <xf numFmtId="0" fontId="51" fillId="0" borderId="0"/>
    <xf numFmtId="9" fontId="51" fillId="0" borderId="0" applyFont="0" applyFill="0" applyBorder="0" applyAlignment="0" applyProtection="0"/>
    <xf numFmtId="185" fontId="51" fillId="0" borderId="0" applyFont="0" applyFill="0" applyBorder="0" applyAlignment="0" applyProtection="0"/>
    <xf numFmtId="184" fontId="51" fillId="0" borderId="0" applyFont="0" applyFill="0" applyBorder="0" applyAlignment="0" applyProtection="0"/>
    <xf numFmtId="43" fontId="51" fillId="0" borderId="0" applyFont="0" applyFill="0" applyBorder="0" applyAlignment="0" applyProtection="0"/>
    <xf numFmtId="41" fontId="51" fillId="0" borderId="0" applyFont="0" applyFill="0" applyBorder="0" applyAlignment="0" applyProtection="0"/>
    <xf numFmtId="0" fontId="68" fillId="0" borderId="0">
      <alignment vertical="center"/>
    </xf>
    <xf numFmtId="0" fontId="70" fillId="0" borderId="0"/>
    <xf numFmtId="0" fontId="71" fillId="15" borderId="0" applyNumberFormat="0" applyBorder="0" applyAlignment="0" applyProtection="0"/>
    <xf numFmtId="43" fontId="69" fillId="0" borderId="0" applyFont="0" applyFill="0" applyBorder="0" applyAlignment="0" applyProtection="0">
      <alignment vertical="center"/>
    </xf>
    <xf numFmtId="41" fontId="69" fillId="0" borderId="0" applyFont="0" applyFill="0" applyBorder="0" applyAlignment="0" applyProtection="0">
      <alignment vertical="center"/>
    </xf>
    <xf numFmtId="0" fontId="72" fillId="14" borderId="0" applyNumberFormat="0" applyBorder="0" applyAlignment="0" applyProtection="0"/>
    <xf numFmtId="0" fontId="73" fillId="0" borderId="0">
      <alignment vertical="center"/>
    </xf>
    <xf numFmtId="0" fontId="49" fillId="0" borderId="0"/>
    <xf numFmtId="0" fontId="42" fillId="0" borderId="0">
      <alignment vertical="center"/>
    </xf>
    <xf numFmtId="9" fontId="42" fillId="0" borderId="0" applyFont="0" applyFill="0" applyBorder="0" applyAlignment="0" applyProtection="0">
      <alignment vertical="center"/>
    </xf>
  </cellStyleXfs>
  <cellXfs count="484">
    <xf numFmtId="0" fontId="0" fillId="0" borderId="0" xfId="0"/>
    <xf numFmtId="0" fontId="0" fillId="0" borderId="0" xfId="0" applyAlignment="1">
      <alignment vertical="center"/>
    </xf>
    <xf numFmtId="0" fontId="2" fillId="0" borderId="0" xfId="0" applyFont="1" applyAlignment="1">
      <alignment vertical="center"/>
    </xf>
    <xf numFmtId="0" fontId="3" fillId="0" borderId="0" xfId="0" applyFont="1" applyAlignment="1">
      <alignment vertical="center"/>
    </xf>
    <xf numFmtId="41" fontId="0" fillId="0" borderId="0" xfId="1" applyFont="1" applyAlignment="1">
      <alignment vertical="center"/>
    </xf>
    <xf numFmtId="41" fontId="2" fillId="0" borderId="0" xfId="1" applyFont="1" applyAlignment="1">
      <alignment vertical="center"/>
    </xf>
    <xf numFmtId="0" fontId="2" fillId="0" borderId="1" xfId="0" applyFont="1" applyBorder="1" applyAlignment="1">
      <alignment vertical="center"/>
    </xf>
    <xf numFmtId="41" fontId="0" fillId="0" borderId="1" xfId="1" applyFont="1" applyBorder="1" applyAlignment="1">
      <alignment vertical="center"/>
    </xf>
    <xf numFmtId="0" fontId="0" fillId="0" borderId="1" xfId="0" applyBorder="1" applyAlignment="1">
      <alignment vertical="center"/>
    </xf>
    <xf numFmtId="41" fontId="2" fillId="0" borderId="1" xfId="1" applyFont="1" applyBorder="1" applyAlignment="1">
      <alignment vertical="center"/>
    </xf>
    <xf numFmtId="0" fontId="0" fillId="0" borderId="0" xfId="0" applyFont="1" applyAlignment="1">
      <alignment vertical="center"/>
    </xf>
    <xf numFmtId="41" fontId="0" fillId="0" borderId="1" xfId="1" applyFont="1" applyBorder="1" applyAlignment="1">
      <alignment vertical="center"/>
    </xf>
    <xf numFmtId="9" fontId="0" fillId="0" borderId="0" xfId="2" applyFont="1" applyAlignment="1">
      <alignment vertical="center"/>
    </xf>
    <xf numFmtId="9" fontId="0" fillId="0" borderId="1" xfId="2" applyFont="1" applyBorder="1" applyAlignment="1">
      <alignment vertical="center"/>
    </xf>
    <xf numFmtId="0" fontId="2" fillId="3" borderId="1" xfId="0" applyFont="1" applyFill="1" applyBorder="1" applyAlignment="1">
      <alignment vertical="center"/>
    </xf>
    <xf numFmtId="41" fontId="2" fillId="3" borderId="1" xfId="1" applyFont="1" applyFill="1" applyBorder="1" applyAlignment="1">
      <alignment vertical="center"/>
    </xf>
    <xf numFmtId="0" fontId="2" fillId="3" borderId="1" xfId="0" applyFont="1" applyFill="1" applyBorder="1" applyAlignment="1">
      <alignment horizontal="center" vertical="center"/>
    </xf>
    <xf numFmtId="0" fontId="0" fillId="3" borderId="1" xfId="0" applyFill="1" applyBorder="1" applyAlignment="1">
      <alignment vertical="center"/>
    </xf>
    <xf numFmtId="41" fontId="0" fillId="0" borderId="1" xfId="1" applyFont="1" applyBorder="1" applyAlignment="1">
      <alignment horizontal="right" vertical="center"/>
    </xf>
    <xf numFmtId="166" fontId="0" fillId="0" borderId="1" xfId="2" applyNumberFormat="1" applyFont="1" applyBorder="1" applyAlignment="1">
      <alignment vertical="center"/>
    </xf>
    <xf numFmtId="41" fontId="0" fillId="0" borderId="2" xfId="1" applyFont="1" applyBorder="1" applyAlignment="1">
      <alignment vertical="center"/>
    </xf>
    <xf numFmtId="0" fontId="2" fillId="5" borderId="1" xfId="0" applyFont="1" applyFill="1" applyBorder="1" applyAlignment="1">
      <alignment vertical="center"/>
    </xf>
    <xf numFmtId="0" fontId="2" fillId="5" borderId="1" xfId="0" quotePrefix="1" applyFont="1" applyFill="1" applyBorder="1" applyAlignment="1">
      <alignment vertical="center"/>
    </xf>
    <xf numFmtId="167" fontId="2" fillId="0" borderId="1" xfId="1" applyNumberFormat="1" applyFont="1" applyBorder="1" applyAlignment="1">
      <alignment vertical="center"/>
    </xf>
    <xf numFmtId="168" fontId="2" fillId="0" borderId="2" xfId="1" applyNumberFormat="1" applyFont="1" applyBorder="1" applyAlignment="1">
      <alignment vertical="center"/>
    </xf>
    <xf numFmtId="0" fontId="4" fillId="0" borderId="0" xfId="0" applyFont="1" applyAlignment="1">
      <alignment vertical="center"/>
    </xf>
    <xf numFmtId="41" fontId="2" fillId="4" borderId="1" xfId="1" applyFont="1" applyFill="1" applyBorder="1" applyAlignment="1" applyProtection="1">
      <alignment vertical="center"/>
      <protection locked="0"/>
    </xf>
    <xf numFmtId="166" fontId="0" fillId="4" borderId="1" xfId="2" applyNumberFormat="1" applyFont="1" applyFill="1" applyBorder="1" applyAlignment="1" applyProtection="1">
      <alignment vertical="center"/>
      <protection locked="0"/>
    </xf>
    <xf numFmtId="41" fontId="0" fillId="4" borderId="1" xfId="1" applyFont="1" applyFill="1" applyBorder="1" applyAlignment="1" applyProtection="1">
      <alignment vertical="center"/>
      <protection locked="0"/>
    </xf>
    <xf numFmtId="0" fontId="0" fillId="2" borderId="1" xfId="0" applyFill="1" applyBorder="1" applyAlignment="1" applyProtection="1">
      <alignment vertical="center"/>
      <protection locked="0"/>
    </xf>
    <xf numFmtId="0" fontId="0" fillId="4" borderId="1" xfId="0" applyFill="1" applyBorder="1" applyAlignment="1" applyProtection="1">
      <alignment vertical="center"/>
      <protection locked="0"/>
    </xf>
    <xf numFmtId="9" fontId="0" fillId="4" borderId="1" xfId="2" applyFont="1" applyFill="1" applyBorder="1" applyAlignment="1" applyProtection="1">
      <alignment vertical="center"/>
      <protection locked="0"/>
    </xf>
    <xf numFmtId="0" fontId="2" fillId="2" borderId="1" xfId="0" applyFont="1" applyFill="1" applyBorder="1" applyAlignment="1" applyProtection="1">
      <alignment vertical="center"/>
      <protection locked="0"/>
    </xf>
    <xf numFmtId="0" fontId="0" fillId="0" borderId="0" xfId="0" applyAlignment="1" applyProtection="1">
      <alignment vertical="center"/>
      <protection locked="0"/>
    </xf>
    <xf numFmtId="41" fontId="0" fillId="0" borderId="0" xfId="1" applyFont="1" applyAlignment="1" applyProtection="1">
      <alignment vertical="center"/>
      <protection locked="0"/>
    </xf>
    <xf numFmtId="0" fontId="0" fillId="0" borderId="0" xfId="0" applyBorder="1" applyAlignment="1" applyProtection="1">
      <alignment vertical="center"/>
      <protection locked="0"/>
    </xf>
    <xf numFmtId="0" fontId="2" fillId="0" borderId="0" xfId="0" applyFont="1" applyAlignment="1" applyProtection="1">
      <alignment vertical="center"/>
      <protection locked="0"/>
    </xf>
    <xf numFmtId="0" fontId="2" fillId="3" borderId="1" xfId="0" applyFont="1" applyFill="1" applyBorder="1" applyAlignment="1">
      <alignment vertical="center"/>
    </xf>
    <xf numFmtId="0" fontId="5" fillId="6" borderId="5" xfId="0" applyFont="1" applyFill="1" applyBorder="1" applyAlignment="1">
      <alignment horizontal="center" vertical="center"/>
    </xf>
    <xf numFmtId="0" fontId="5" fillId="6" borderId="6" xfId="0" applyFont="1" applyFill="1" applyBorder="1" applyAlignment="1">
      <alignment horizontal="center" vertical="center"/>
    </xf>
    <xf numFmtId="0" fontId="6" fillId="0" borderId="0" xfId="0" applyFont="1"/>
    <xf numFmtId="41" fontId="0" fillId="0" borderId="1" xfId="0" applyNumberFormat="1" applyBorder="1" applyAlignment="1" applyProtection="1">
      <alignment vertical="center"/>
      <protection locked="0"/>
    </xf>
    <xf numFmtId="0" fontId="0" fillId="0" borderId="1" xfId="0" applyFont="1" applyBorder="1" applyAlignment="1">
      <alignment vertical="center"/>
    </xf>
    <xf numFmtId="0" fontId="0" fillId="0" borderId="1" xfId="0" quotePrefix="1" applyFont="1" applyBorder="1" applyAlignment="1">
      <alignment vertical="center"/>
    </xf>
    <xf numFmtId="0" fontId="0" fillId="2" borderId="1" xfId="0" applyFill="1" applyBorder="1" applyAlignment="1">
      <alignment vertical="center"/>
    </xf>
    <xf numFmtId="0" fontId="0" fillId="4" borderId="1" xfId="0" applyFill="1" applyBorder="1" applyAlignment="1">
      <alignment vertical="center"/>
    </xf>
    <xf numFmtId="167" fontId="0" fillId="0" borderId="1" xfId="1" applyNumberFormat="1" applyFont="1" applyBorder="1" applyAlignment="1">
      <alignment vertical="center"/>
    </xf>
    <xf numFmtId="0" fontId="2" fillId="3" borderId="1" xfId="0" applyFont="1" applyFill="1" applyBorder="1" applyAlignment="1" applyProtection="1">
      <alignment vertical="center"/>
      <protection locked="0"/>
    </xf>
    <xf numFmtId="166" fontId="0" fillId="0" borderId="1" xfId="2" applyNumberFormat="1" applyFont="1" applyBorder="1" applyAlignment="1" applyProtection="1">
      <alignment vertical="center"/>
      <protection locked="0"/>
    </xf>
    <xf numFmtId="0" fontId="2" fillId="3" borderId="3" xfId="0" applyFont="1" applyFill="1" applyBorder="1" applyAlignment="1">
      <alignment vertical="center"/>
    </xf>
    <xf numFmtId="0" fontId="2" fillId="3" borderId="1" xfId="0" applyFont="1" applyFill="1" applyBorder="1" applyAlignment="1">
      <alignment vertical="center"/>
    </xf>
    <xf numFmtId="0" fontId="2" fillId="3" borderId="1" xfId="0" applyFont="1" applyFill="1" applyBorder="1" applyAlignment="1">
      <alignment vertical="center"/>
    </xf>
    <xf numFmtId="0" fontId="9" fillId="0" borderId="1" xfId="0" applyFont="1" applyBorder="1" applyAlignment="1">
      <alignment vertical="center"/>
    </xf>
    <xf numFmtId="0" fontId="9" fillId="9" borderId="1" xfId="0" applyFont="1" applyFill="1" applyBorder="1" applyAlignment="1">
      <alignment vertical="center"/>
    </xf>
    <xf numFmtId="170" fontId="10" fillId="9" borderId="1" xfId="1" applyNumberFormat="1" applyFont="1" applyFill="1" applyBorder="1" applyAlignment="1">
      <alignment vertical="center"/>
    </xf>
    <xf numFmtId="167" fontId="10" fillId="9" borderId="1" xfId="1" applyNumberFormat="1" applyFont="1" applyFill="1" applyBorder="1" applyAlignment="1">
      <alignment vertical="center"/>
    </xf>
    <xf numFmtId="166" fontId="10" fillId="9" borderId="1" xfId="2" applyNumberFormat="1" applyFont="1" applyFill="1" applyBorder="1" applyAlignment="1">
      <alignment vertical="center"/>
    </xf>
    <xf numFmtId="0" fontId="2" fillId="9" borderId="1" xfId="0" applyFont="1" applyFill="1" applyBorder="1" applyAlignment="1">
      <alignment vertical="center"/>
    </xf>
    <xf numFmtId="169" fontId="10" fillId="9" borderId="1" xfId="0" applyNumberFormat="1" applyFont="1" applyFill="1" applyBorder="1" applyAlignment="1">
      <alignment vertical="center"/>
    </xf>
    <xf numFmtId="166" fontId="10" fillId="9" borderId="1" xfId="0" applyNumberFormat="1" applyFont="1" applyFill="1" applyBorder="1" applyAlignment="1">
      <alignment vertical="center"/>
    </xf>
    <xf numFmtId="0" fontId="10" fillId="9" borderId="1" xfId="0" applyFont="1" applyFill="1" applyBorder="1" applyAlignment="1">
      <alignment vertical="center"/>
    </xf>
    <xf numFmtId="0" fontId="2" fillId="4" borderId="1" xfId="0" applyFont="1" applyFill="1" applyBorder="1" applyAlignment="1" applyProtection="1">
      <alignment vertical="center"/>
      <protection locked="0"/>
    </xf>
    <xf numFmtId="0" fontId="10" fillId="9" borderId="10" xfId="0" applyFont="1" applyFill="1" applyBorder="1" applyAlignment="1">
      <alignment vertical="center"/>
    </xf>
    <xf numFmtId="0" fontId="2" fillId="9" borderId="10" xfId="0" applyFont="1" applyFill="1" applyBorder="1" applyAlignment="1">
      <alignment vertical="center"/>
    </xf>
    <xf numFmtId="0" fontId="2" fillId="9" borderId="11" xfId="0" applyFont="1" applyFill="1" applyBorder="1" applyAlignment="1">
      <alignment vertical="center"/>
    </xf>
    <xf numFmtId="171" fontId="10" fillId="9" borderId="10" xfId="0" applyNumberFormat="1" applyFont="1" applyFill="1" applyBorder="1" applyAlignment="1">
      <alignment vertical="center"/>
    </xf>
    <xf numFmtId="0" fontId="2" fillId="8" borderId="1" xfId="0" applyFont="1" applyFill="1" applyBorder="1" applyAlignment="1">
      <alignment vertical="center"/>
    </xf>
    <xf numFmtId="0" fontId="10" fillId="8" borderId="1" xfId="0" applyFont="1" applyFill="1" applyBorder="1" applyAlignment="1">
      <alignment vertical="center"/>
    </xf>
    <xf numFmtId="166" fontId="10" fillId="8" borderId="1" xfId="2" applyNumberFormat="1" applyFont="1" applyFill="1" applyBorder="1" applyAlignment="1">
      <alignment vertical="center"/>
    </xf>
    <xf numFmtId="0" fontId="2" fillId="3" borderId="1" xfId="0" applyFont="1" applyFill="1" applyBorder="1" applyAlignment="1">
      <alignment vertical="center"/>
    </xf>
    <xf numFmtId="0" fontId="2" fillId="3" borderId="1" xfId="0" applyFont="1" applyFill="1" applyBorder="1" applyAlignment="1">
      <alignment vertical="center" wrapText="1"/>
    </xf>
    <xf numFmtId="0" fontId="2" fillId="3" borderId="1" xfId="0" applyFont="1" applyFill="1" applyBorder="1" applyAlignment="1" applyProtection="1">
      <alignment horizontal="center" vertical="center"/>
      <protection locked="0"/>
    </xf>
    <xf numFmtId="41" fontId="0" fillId="0" borderId="1" xfId="1" applyFont="1" applyBorder="1" applyAlignment="1" applyProtection="1">
      <alignment vertical="center"/>
      <protection locked="0"/>
    </xf>
    <xf numFmtId="41" fontId="10" fillId="8" borderId="1" xfId="1" applyFont="1" applyFill="1" applyBorder="1" applyAlignment="1">
      <alignment vertical="center"/>
    </xf>
    <xf numFmtId="172" fontId="10" fillId="8" borderId="1" xfId="1" applyNumberFormat="1" applyFont="1" applyFill="1" applyBorder="1" applyAlignment="1">
      <alignment vertical="center"/>
    </xf>
    <xf numFmtId="0" fontId="0" fillId="4" borderId="1" xfId="0" applyFill="1" applyBorder="1" applyAlignment="1">
      <alignment vertical="center" wrapText="1"/>
    </xf>
    <xf numFmtId="14" fontId="0" fillId="4" borderId="1" xfId="0" applyNumberFormat="1" applyFill="1" applyBorder="1" applyAlignment="1">
      <alignment vertical="center"/>
    </xf>
    <xf numFmtId="14" fontId="10" fillId="8" borderId="1" xfId="0" applyNumberFormat="1" applyFont="1" applyFill="1" applyBorder="1" applyAlignment="1">
      <alignment vertical="center"/>
    </xf>
    <xf numFmtId="0" fontId="2" fillId="2" borderId="1" xfId="0" applyFont="1" applyFill="1" applyBorder="1" applyAlignment="1">
      <alignment vertical="center"/>
    </xf>
    <xf numFmtId="0" fontId="0" fillId="0" borderId="0" xfId="0" applyAlignment="1">
      <alignment vertical="center" wrapText="1"/>
    </xf>
    <xf numFmtId="14" fontId="10" fillId="8" borderId="1" xfId="0" applyNumberFormat="1" applyFont="1" applyFill="1" applyBorder="1" applyAlignment="1">
      <alignment vertical="center" wrapText="1"/>
    </xf>
    <xf numFmtId="0" fontId="2" fillId="2" borderId="1" xfId="0" applyFont="1" applyFill="1" applyBorder="1" applyAlignment="1">
      <alignment vertical="center" wrapText="1"/>
    </xf>
    <xf numFmtId="9" fontId="0" fillId="4" borderId="1" xfId="2" applyFont="1" applyFill="1" applyBorder="1" applyAlignment="1">
      <alignment vertical="center" wrapText="1"/>
    </xf>
    <xf numFmtId="43" fontId="0" fillId="0" borderId="0" xfId="0" applyNumberFormat="1" applyAlignment="1">
      <alignment vertical="center" wrapText="1"/>
    </xf>
    <xf numFmtId="0" fontId="2" fillId="3" borderId="1" xfId="0" applyFont="1" applyFill="1" applyBorder="1" applyAlignment="1">
      <alignment vertical="center"/>
    </xf>
    <xf numFmtId="0" fontId="6" fillId="4" borderId="1" xfId="0" applyFont="1" applyFill="1" applyBorder="1" applyAlignment="1">
      <alignment vertical="center"/>
    </xf>
    <xf numFmtId="0" fontId="2" fillId="3" borderId="1" xfId="0" applyFont="1" applyFill="1" applyBorder="1" applyAlignment="1">
      <alignment vertical="center"/>
    </xf>
    <xf numFmtId="0" fontId="0" fillId="4" borderId="1" xfId="0" applyFill="1" applyBorder="1" applyAlignment="1">
      <alignment vertical="center"/>
    </xf>
    <xf numFmtId="0" fontId="10" fillId="0" borderId="0" xfId="0" applyFont="1" applyAlignment="1">
      <alignment vertical="center"/>
    </xf>
    <xf numFmtId="166" fontId="10" fillId="4" borderId="1" xfId="2" applyNumberFormat="1" applyFont="1" applyFill="1" applyBorder="1" applyAlignment="1">
      <alignment vertical="center"/>
    </xf>
    <xf numFmtId="174" fontId="10" fillId="4" borderId="1" xfId="0" applyNumberFormat="1" applyFont="1" applyFill="1" applyBorder="1" applyAlignment="1">
      <alignment vertical="center"/>
    </xf>
    <xf numFmtId="172" fontId="10" fillId="4" borderId="1" xfId="0" applyNumberFormat="1" applyFont="1" applyFill="1" applyBorder="1" applyAlignment="1">
      <alignment vertical="center"/>
    </xf>
    <xf numFmtId="173" fontId="10" fillId="4" borderId="1" xfId="1" applyNumberFormat="1" applyFont="1" applyFill="1" applyBorder="1" applyAlignment="1">
      <alignment vertical="center"/>
    </xf>
    <xf numFmtId="0" fontId="6" fillId="0" borderId="0" xfId="0" applyFont="1" applyAlignment="1">
      <alignment vertical="center"/>
    </xf>
    <xf numFmtId="0" fontId="2" fillId="3" borderId="10" xfId="0" applyFont="1" applyFill="1" applyBorder="1" applyAlignment="1">
      <alignment vertical="center"/>
    </xf>
    <xf numFmtId="0" fontId="2" fillId="3" borderId="10" xfId="0" applyFont="1" applyFill="1" applyBorder="1" applyAlignment="1">
      <alignment vertical="center" wrapText="1"/>
    </xf>
    <xf numFmtId="0" fontId="6" fillId="4" borderId="10" xfId="0" applyFont="1" applyFill="1" applyBorder="1" applyAlignment="1">
      <alignment vertical="center" wrapText="1"/>
    </xf>
    <xf numFmtId="0" fontId="2" fillId="3" borderId="13" xfId="0" applyFont="1" applyFill="1" applyBorder="1" applyAlignment="1">
      <alignment vertical="center" wrapText="1"/>
    </xf>
    <xf numFmtId="0" fontId="6" fillId="4" borderId="1" xfId="0" applyFont="1" applyFill="1" applyBorder="1" applyAlignment="1">
      <alignment vertical="center" wrapText="1"/>
    </xf>
    <xf numFmtId="0" fontId="6" fillId="4" borderId="10" xfId="0" applyFont="1" applyFill="1" applyBorder="1" applyAlignment="1">
      <alignment vertical="center"/>
    </xf>
    <xf numFmtId="0" fontId="2" fillId="10" borderId="12" xfId="0" applyFont="1" applyFill="1" applyBorder="1" applyAlignment="1">
      <alignment vertical="center"/>
    </xf>
    <xf numFmtId="0" fontId="2" fillId="5" borderId="10" xfId="0" applyFont="1" applyFill="1" applyBorder="1" applyAlignment="1">
      <alignment vertical="center"/>
    </xf>
    <xf numFmtId="0" fontId="2" fillId="5" borderId="11" xfId="0" applyFont="1" applyFill="1" applyBorder="1" applyAlignment="1">
      <alignment vertical="center"/>
    </xf>
    <xf numFmtId="0" fontId="2" fillId="5" borderId="12" xfId="0" applyFont="1" applyFill="1" applyBorder="1" applyAlignment="1">
      <alignment vertical="center"/>
    </xf>
    <xf numFmtId="0" fontId="2" fillId="5" borderId="14" xfId="0" applyFont="1" applyFill="1" applyBorder="1" applyAlignment="1">
      <alignment vertical="center"/>
    </xf>
    <xf numFmtId="0" fontId="6" fillId="4" borderId="13" xfId="0" applyFont="1" applyFill="1" applyBorder="1" applyAlignment="1">
      <alignment vertical="center" wrapText="1"/>
    </xf>
    <xf numFmtId="15" fontId="2" fillId="4" borderId="1" xfId="0" applyNumberFormat="1" applyFont="1" applyFill="1" applyBorder="1" applyAlignment="1">
      <alignment vertical="center"/>
    </xf>
    <xf numFmtId="0" fontId="2" fillId="4" borderId="1" xfId="0" applyFont="1" applyFill="1" applyBorder="1" applyAlignment="1">
      <alignment vertical="center"/>
    </xf>
    <xf numFmtId="0" fontId="2" fillId="3" borderId="1" xfId="0" applyFont="1" applyFill="1" applyBorder="1" applyAlignment="1">
      <alignment vertical="center"/>
    </xf>
    <xf numFmtId="0" fontId="0" fillId="4" borderId="1" xfId="0" applyFill="1" applyBorder="1" applyAlignment="1">
      <alignment vertical="center"/>
    </xf>
    <xf numFmtId="174" fontId="6" fillId="4" borderId="1" xfId="0" applyNumberFormat="1" applyFont="1" applyFill="1" applyBorder="1" applyAlignment="1">
      <alignment vertical="center"/>
    </xf>
    <xf numFmtId="175" fontId="10" fillId="8" borderId="1" xfId="0" applyNumberFormat="1" applyFont="1" applyFill="1" applyBorder="1" applyAlignment="1">
      <alignment vertical="center"/>
    </xf>
    <xf numFmtId="14" fontId="2" fillId="4" borderId="1" xfId="0" quotePrefix="1" applyNumberFormat="1" applyFont="1" applyFill="1" applyBorder="1" applyAlignment="1" applyProtection="1">
      <alignment horizontal="right" vertical="center"/>
      <protection locked="0"/>
    </xf>
    <xf numFmtId="14" fontId="2" fillId="4" borderId="1" xfId="0" applyNumberFormat="1" applyFont="1" applyFill="1" applyBorder="1" applyAlignment="1" applyProtection="1">
      <alignment horizontal="right" vertical="center"/>
      <protection locked="0"/>
    </xf>
    <xf numFmtId="0" fontId="14" fillId="4" borderId="1" xfId="0" applyFont="1" applyFill="1" applyBorder="1" applyAlignment="1">
      <alignment vertical="center"/>
    </xf>
    <xf numFmtId="0" fontId="2" fillId="3" borderId="1" xfId="0" applyFont="1" applyFill="1" applyBorder="1" applyAlignment="1">
      <alignment vertical="center"/>
    </xf>
    <xf numFmtId="0" fontId="10" fillId="4" borderId="1" xfId="0" applyFont="1" applyFill="1" applyBorder="1" applyAlignment="1">
      <alignment vertical="center" wrapText="1"/>
    </xf>
    <xf numFmtId="0" fontId="14" fillId="0" borderId="0" xfId="0" applyFont="1" applyAlignment="1">
      <alignment vertical="center"/>
    </xf>
    <xf numFmtId="0" fontId="2" fillId="3" borderId="1" xfId="0" applyFont="1" applyFill="1" applyBorder="1" applyAlignment="1">
      <alignment vertical="center"/>
    </xf>
    <xf numFmtId="0" fontId="2" fillId="3" borderId="1" xfId="0" applyFont="1" applyFill="1" applyBorder="1" applyAlignment="1">
      <alignment horizontal="center" vertical="center"/>
    </xf>
    <xf numFmtId="0" fontId="0" fillId="4" borderId="1" xfId="0" applyFill="1" applyBorder="1" applyAlignment="1">
      <alignment vertical="center"/>
    </xf>
    <xf numFmtId="41" fontId="10" fillId="9" borderId="1" xfId="1" applyFont="1" applyFill="1" applyBorder="1" applyAlignment="1">
      <alignment vertical="center"/>
    </xf>
    <xf numFmtId="41" fontId="10" fillId="9" borderId="1" xfId="0" applyNumberFormat="1" applyFont="1" applyFill="1" applyBorder="1" applyAlignment="1">
      <alignment vertical="center"/>
    </xf>
    <xf numFmtId="41" fontId="10" fillId="9" borderId="1" xfId="1" applyNumberFormat="1" applyFont="1" applyFill="1" applyBorder="1" applyAlignment="1">
      <alignment vertical="center"/>
    </xf>
    <xf numFmtId="10" fontId="10" fillId="9" borderId="1" xfId="2" applyNumberFormat="1" applyFont="1" applyFill="1" applyBorder="1" applyAlignment="1">
      <alignment horizontal="center" vertical="center" wrapText="1"/>
    </xf>
    <xf numFmtId="0" fontId="2" fillId="3" borderId="1" xfId="0" applyFont="1" applyFill="1" applyBorder="1" applyAlignment="1">
      <alignment horizontal="left" vertical="center"/>
    </xf>
    <xf numFmtId="0" fontId="10" fillId="9" borderId="2" xfId="0" applyFont="1" applyFill="1" applyBorder="1" applyAlignment="1">
      <alignment vertical="center"/>
    </xf>
    <xf numFmtId="0" fontId="11" fillId="9" borderId="1" xfId="0" applyFont="1" applyFill="1" applyBorder="1" applyAlignment="1">
      <alignment vertical="center"/>
    </xf>
    <xf numFmtId="0" fontId="0" fillId="9" borderId="1" xfId="0" applyFill="1" applyBorder="1" applyAlignment="1">
      <alignment vertical="center"/>
    </xf>
    <xf numFmtId="176" fontId="10" fillId="9" borderId="1" xfId="1" applyNumberFormat="1" applyFont="1" applyFill="1" applyBorder="1" applyAlignment="1">
      <alignment vertical="center"/>
    </xf>
    <xf numFmtId="14" fontId="2" fillId="4" borderId="1" xfId="0" applyNumberFormat="1" applyFont="1" applyFill="1" applyBorder="1" applyAlignment="1">
      <alignment vertical="center"/>
    </xf>
    <xf numFmtId="176" fontId="2" fillId="4" borderId="1" xfId="1" applyNumberFormat="1" applyFont="1" applyFill="1" applyBorder="1" applyAlignment="1">
      <alignment vertical="center"/>
    </xf>
    <xf numFmtId="0" fontId="8" fillId="0" borderId="0" xfId="3" applyAlignment="1">
      <alignment vertical="center"/>
    </xf>
    <xf numFmtId="0" fontId="2" fillId="9" borderId="1" xfId="0" applyFont="1" applyFill="1" applyBorder="1" applyAlignment="1">
      <alignment vertical="center" wrapText="1"/>
    </xf>
    <xf numFmtId="0" fontId="2" fillId="9" borderId="1" xfId="0" quotePrefix="1" applyFont="1" applyFill="1" applyBorder="1" applyAlignment="1">
      <alignment vertical="center"/>
    </xf>
    <xf numFmtId="0" fontId="2" fillId="3" borderId="1" xfId="0" applyFont="1" applyFill="1" applyBorder="1" applyAlignment="1">
      <alignment vertical="center"/>
    </xf>
    <xf numFmtId="0" fontId="0" fillId="4" borderId="1" xfId="0" applyFill="1" applyBorder="1" applyAlignment="1">
      <alignment vertical="center"/>
    </xf>
    <xf numFmtId="0" fontId="14" fillId="9" borderId="1" xfId="0" applyFont="1" applyFill="1" applyBorder="1" applyAlignment="1">
      <alignment vertical="center"/>
    </xf>
    <xf numFmtId="43" fontId="0" fillId="0" borderId="0" xfId="1" applyNumberFormat="1" applyFont="1" applyAlignment="1">
      <alignment vertical="center"/>
    </xf>
    <xf numFmtId="0" fontId="2" fillId="3" borderId="1" xfId="0" applyFont="1" applyFill="1" applyBorder="1" applyAlignment="1">
      <alignment vertical="center"/>
    </xf>
    <xf numFmtId="0" fontId="0" fillId="4" borderId="1" xfId="0" applyFill="1" applyBorder="1" applyAlignment="1">
      <alignment vertical="center" wrapText="1"/>
    </xf>
    <xf numFmtId="0" fontId="0" fillId="4" borderId="1" xfId="0" applyFill="1" applyBorder="1" applyAlignment="1">
      <alignment vertical="center"/>
    </xf>
    <xf numFmtId="0" fontId="8" fillId="4" borderId="1" xfId="3" applyFill="1" applyBorder="1" applyAlignment="1">
      <alignment vertical="center"/>
    </xf>
    <xf numFmtId="14" fontId="10" fillId="9" borderId="1" xfId="0" applyNumberFormat="1" applyFont="1" applyFill="1" applyBorder="1" applyAlignment="1">
      <alignment horizontal="left" vertical="center"/>
    </xf>
    <xf numFmtId="0" fontId="2" fillId="4" borderId="1" xfId="0" applyFont="1" applyFill="1" applyBorder="1" applyAlignment="1" applyProtection="1">
      <alignment vertical="center" wrapText="1"/>
      <protection locked="0"/>
    </xf>
    <xf numFmtId="41" fontId="0" fillId="0" borderId="0" xfId="0" applyNumberFormat="1" applyAlignment="1" applyProtection="1">
      <alignment vertical="center"/>
      <protection locked="0"/>
    </xf>
    <xf numFmtId="41" fontId="14" fillId="0" borderId="0" xfId="1" applyFont="1" applyAlignment="1" applyProtection="1">
      <alignment vertical="center"/>
      <protection locked="0"/>
    </xf>
    <xf numFmtId="0" fontId="0" fillId="4" borderId="1" xfId="0" applyFill="1" applyBorder="1" applyAlignment="1">
      <alignment vertical="center" wrapText="1"/>
    </xf>
    <xf numFmtId="43" fontId="0" fillId="0" borderId="0" xfId="0" applyNumberFormat="1" applyAlignment="1">
      <alignment vertical="center"/>
    </xf>
    <xf numFmtId="177" fontId="0" fillId="0" borderId="0" xfId="0" applyNumberFormat="1" applyAlignment="1">
      <alignment vertical="center"/>
    </xf>
    <xf numFmtId="41" fontId="0" fillId="0" borderId="0" xfId="0" applyNumberFormat="1" applyAlignment="1">
      <alignment vertical="center"/>
    </xf>
    <xf numFmtId="178" fontId="0" fillId="0" borderId="0" xfId="0" applyNumberFormat="1" applyAlignment="1" applyProtection="1">
      <alignment vertical="center"/>
      <protection locked="0"/>
    </xf>
    <xf numFmtId="43" fontId="0" fillId="0" borderId="0" xfId="0" applyNumberFormat="1" applyAlignment="1" applyProtection="1">
      <alignment vertical="center"/>
      <protection locked="0"/>
    </xf>
    <xf numFmtId="0" fontId="16" fillId="0" borderId="0" xfId="0" applyFont="1" applyAlignment="1">
      <alignment vertical="center"/>
    </xf>
    <xf numFmtId="0" fontId="17" fillId="0" borderId="0" xfId="0" applyFont="1" applyAlignment="1">
      <alignment vertical="center"/>
    </xf>
    <xf numFmtId="0" fontId="16" fillId="0" borderId="0" xfId="0" applyFont="1" applyAlignment="1">
      <alignment horizontal="left" vertical="center" indent="1"/>
    </xf>
    <xf numFmtId="0" fontId="17" fillId="0" borderId="0" xfId="0" applyFont="1" applyAlignment="1">
      <alignment horizontal="left" vertical="center" indent="1"/>
    </xf>
    <xf numFmtId="41" fontId="15" fillId="4" borderId="1" xfId="1" applyFont="1" applyFill="1" applyBorder="1" applyAlignment="1">
      <alignment vertical="center"/>
    </xf>
    <xf numFmtId="179" fontId="0" fillId="0" borderId="0" xfId="0" applyNumberFormat="1" applyAlignment="1">
      <alignment vertical="center"/>
    </xf>
    <xf numFmtId="41" fontId="0" fillId="4" borderId="1" xfId="0" applyNumberFormat="1" applyFill="1" applyBorder="1" applyAlignment="1" applyProtection="1">
      <alignment vertical="center"/>
      <protection locked="0"/>
    </xf>
    <xf numFmtId="0" fontId="18" fillId="0" borderId="0" xfId="0" applyFont="1" applyAlignment="1">
      <alignment horizontal="left" vertical="center" indent="1" readingOrder="1"/>
    </xf>
    <xf numFmtId="0" fontId="19" fillId="0" borderId="0" xfId="0" applyFont="1"/>
    <xf numFmtId="14" fontId="2" fillId="4" borderId="1" xfId="0" quotePrefix="1" applyNumberFormat="1" applyFont="1" applyFill="1" applyBorder="1" applyAlignment="1">
      <alignment vertical="center"/>
    </xf>
    <xf numFmtId="171" fontId="6" fillId="4" borderId="10" xfId="0" quotePrefix="1" applyNumberFormat="1" applyFont="1" applyFill="1" applyBorder="1" applyAlignment="1">
      <alignment vertical="center"/>
    </xf>
    <xf numFmtId="41" fontId="6" fillId="0" borderId="0" xfId="1" applyFont="1" applyAlignment="1" applyProtection="1">
      <alignment vertical="center"/>
      <protection locked="0"/>
    </xf>
    <xf numFmtId="180" fontId="0" fillId="0" borderId="0" xfId="0" applyNumberFormat="1" applyAlignment="1">
      <alignment vertical="center"/>
    </xf>
    <xf numFmtId="166" fontId="14" fillId="0" borderId="1" xfId="2" applyNumberFormat="1" applyFont="1" applyBorder="1" applyAlignment="1">
      <alignment vertical="center"/>
    </xf>
    <xf numFmtId="0" fontId="21" fillId="0" borderId="0" xfId="0" applyFont="1" applyAlignment="1">
      <alignment vertical="center"/>
    </xf>
    <xf numFmtId="0" fontId="0" fillId="0" borderId="0" xfId="0" applyAlignment="1">
      <alignment horizontal="center" vertical="center"/>
    </xf>
    <xf numFmtId="0" fontId="22" fillId="3" borderId="17" xfId="0" applyFont="1" applyFill="1" applyBorder="1" applyAlignment="1">
      <alignment horizontal="center" vertical="center"/>
    </xf>
    <xf numFmtId="0" fontId="23" fillId="0" borderId="24" xfId="0" applyFont="1" applyBorder="1" applyAlignment="1">
      <alignment horizontal="center" vertical="center"/>
    </xf>
    <xf numFmtId="0" fontId="21" fillId="3" borderId="36" xfId="0" applyFont="1" applyFill="1" applyBorder="1" applyAlignment="1">
      <alignment horizontal="center" vertical="center"/>
    </xf>
    <xf numFmtId="0" fontId="22" fillId="3" borderId="37" xfId="0" applyFont="1" applyFill="1" applyBorder="1" applyAlignment="1">
      <alignment horizontal="center" vertical="center"/>
    </xf>
    <xf numFmtId="0" fontId="22" fillId="3" borderId="9" xfId="0" applyFont="1" applyFill="1" applyBorder="1" applyAlignment="1">
      <alignment horizontal="center" vertical="center"/>
    </xf>
    <xf numFmtId="0" fontId="22" fillId="3" borderId="38" xfId="0" applyFont="1" applyFill="1" applyBorder="1" applyAlignment="1">
      <alignment horizontal="center" vertical="center"/>
    </xf>
    <xf numFmtId="0" fontId="22" fillId="3" borderId="39" xfId="0" applyFont="1" applyFill="1" applyBorder="1" applyAlignment="1">
      <alignment horizontal="center" vertical="center"/>
    </xf>
    <xf numFmtId="0" fontId="22" fillId="3" borderId="40" xfId="0" applyFont="1" applyFill="1" applyBorder="1" applyAlignment="1">
      <alignment horizontal="center" vertical="center"/>
    </xf>
    <xf numFmtId="0" fontId="22" fillId="3" borderId="41" xfId="0" applyFont="1" applyFill="1" applyBorder="1" applyAlignment="1">
      <alignment horizontal="center" vertical="center"/>
    </xf>
    <xf numFmtId="0" fontId="22" fillId="3" borderId="42" xfId="0" applyFont="1" applyFill="1" applyBorder="1" applyAlignment="1">
      <alignment horizontal="center" vertical="center"/>
    </xf>
    <xf numFmtId="0" fontId="22" fillId="3" borderId="43" xfId="0" applyFont="1" applyFill="1" applyBorder="1" applyAlignment="1">
      <alignment horizontal="center" vertical="center"/>
    </xf>
    <xf numFmtId="0" fontId="21" fillId="0" borderId="46" xfId="0" applyFont="1" applyBorder="1" applyAlignment="1">
      <alignment horizontal="center" vertical="center"/>
    </xf>
    <xf numFmtId="0" fontId="21" fillId="0" borderId="47" xfId="0" applyFont="1" applyBorder="1" applyAlignment="1">
      <alignment horizontal="center" vertical="center"/>
    </xf>
    <xf numFmtId="0" fontId="21" fillId="0" borderId="48" xfId="0" applyFont="1" applyBorder="1" applyAlignment="1">
      <alignment horizontal="center" vertical="center"/>
    </xf>
    <xf numFmtId="0" fontId="22" fillId="0" borderId="49" xfId="0" applyFont="1" applyBorder="1" applyAlignment="1">
      <alignment horizontal="center" vertical="center"/>
    </xf>
    <xf numFmtId="0" fontId="21" fillId="3" borderId="51" xfId="0" applyFont="1" applyFill="1" applyBorder="1" applyAlignment="1">
      <alignment horizontal="center" vertical="center"/>
    </xf>
    <xf numFmtId="0" fontId="21" fillId="3" borderId="39" xfId="0" applyFont="1" applyFill="1" applyBorder="1" applyAlignment="1">
      <alignment horizontal="center" vertical="center"/>
    </xf>
    <xf numFmtId="0" fontId="22" fillId="3" borderId="40" xfId="0" applyFont="1" applyFill="1" applyBorder="1" applyAlignment="1">
      <alignment horizontal="center" vertical="center" wrapText="1"/>
    </xf>
    <xf numFmtId="0" fontId="22" fillId="3" borderId="50" xfId="0" applyFont="1" applyFill="1" applyBorder="1" applyAlignment="1">
      <alignment horizontal="center" vertical="center" wrapText="1"/>
    </xf>
    <xf numFmtId="0" fontId="22" fillId="3" borderId="41" xfId="0" applyFont="1" applyFill="1" applyBorder="1" applyAlignment="1">
      <alignment horizontal="center" vertical="center" wrapText="1"/>
    </xf>
    <xf numFmtId="0" fontId="21" fillId="3" borderId="52" xfId="0" applyFont="1" applyFill="1" applyBorder="1" applyAlignment="1">
      <alignment horizontal="center" vertical="center"/>
    </xf>
    <xf numFmtId="0" fontId="24" fillId="3" borderId="40" xfId="0" applyFont="1" applyFill="1" applyBorder="1" applyAlignment="1">
      <alignment horizontal="center" vertical="center" wrapText="1"/>
    </xf>
    <xf numFmtId="0" fontId="21" fillId="3" borderId="24" xfId="0" applyFont="1" applyFill="1" applyBorder="1" applyAlignment="1">
      <alignment horizontal="center" vertical="center" wrapText="1"/>
    </xf>
    <xf numFmtId="0" fontId="21" fillId="3" borderId="37" xfId="0" applyFont="1" applyFill="1" applyBorder="1" applyAlignment="1">
      <alignment vertical="center"/>
    </xf>
    <xf numFmtId="0" fontId="21" fillId="3" borderId="38" xfId="0" applyFont="1" applyFill="1" applyBorder="1" applyAlignment="1">
      <alignment vertical="center"/>
    </xf>
    <xf numFmtId="0" fontId="0" fillId="0" borderId="36" xfId="0" quotePrefix="1" applyBorder="1" applyAlignment="1">
      <alignment horizontal="center" vertical="center"/>
    </xf>
    <xf numFmtId="0" fontId="0" fillId="0" borderId="37" xfId="0" applyBorder="1" applyAlignment="1">
      <alignment horizontal="center" vertical="center"/>
    </xf>
    <xf numFmtId="0" fontId="0" fillId="0" borderId="9" xfId="0" applyBorder="1" applyAlignment="1">
      <alignment horizontal="center" vertical="center"/>
    </xf>
    <xf numFmtId="0" fontId="0" fillId="0" borderId="38" xfId="0" applyBorder="1" applyAlignment="1">
      <alignment horizontal="center" vertical="center"/>
    </xf>
    <xf numFmtId="0" fontId="0" fillId="0" borderId="43" xfId="0" applyBorder="1" applyAlignment="1">
      <alignment horizontal="center" vertical="center"/>
    </xf>
    <xf numFmtId="0" fontId="0" fillId="0" borderId="42" xfId="0" quotePrefix="1" applyBorder="1" applyAlignment="1">
      <alignment horizontal="center" vertical="center"/>
    </xf>
    <xf numFmtId="0" fontId="0" fillId="0" borderId="9" xfId="0" quotePrefix="1" applyBorder="1" applyAlignment="1">
      <alignment horizontal="center" vertical="center"/>
    </xf>
    <xf numFmtId="0" fontId="0" fillId="0" borderId="43" xfId="0" quotePrefix="1" applyBorder="1" applyAlignment="1">
      <alignment horizontal="center" vertical="center"/>
    </xf>
    <xf numFmtId="0" fontId="21" fillId="3" borderId="56" xfId="0" applyFont="1" applyFill="1" applyBorder="1" applyAlignment="1">
      <alignment vertical="center"/>
    </xf>
    <xf numFmtId="0" fontId="22" fillId="3" borderId="2" xfId="0" applyFont="1" applyFill="1" applyBorder="1" applyAlignment="1">
      <alignment vertical="center"/>
    </xf>
    <xf numFmtId="0" fontId="21" fillId="0" borderId="57" xfId="0" quotePrefix="1" applyFont="1" applyBorder="1" applyAlignment="1">
      <alignment horizontal="center" vertical="center"/>
    </xf>
    <xf numFmtId="0" fontId="21" fillId="3" borderId="2" xfId="0" applyFont="1" applyFill="1" applyBorder="1" applyAlignment="1">
      <alignment vertical="center"/>
    </xf>
    <xf numFmtId="0" fontId="0" fillId="0" borderId="57" xfId="0" applyBorder="1" applyAlignment="1">
      <alignment horizontal="center" vertical="center"/>
    </xf>
    <xf numFmtId="0" fontId="0" fillId="0" borderId="56" xfId="0" applyBorder="1" applyAlignment="1">
      <alignment horizontal="center" vertical="center"/>
    </xf>
    <xf numFmtId="0" fontId="0" fillId="0" borderId="1" xfId="0" applyBorder="1" applyAlignment="1">
      <alignment horizontal="center" vertical="center"/>
    </xf>
    <xf numFmtId="0" fontId="0" fillId="0" borderId="2" xfId="0" applyBorder="1" applyAlignment="1">
      <alignment horizontal="center" vertical="center"/>
    </xf>
    <xf numFmtId="0" fontId="0" fillId="0" borderId="59" xfId="0" applyBorder="1" applyAlignment="1">
      <alignment horizontal="center" vertical="center"/>
    </xf>
    <xf numFmtId="0" fontId="0" fillId="0" borderId="3" xfId="0" applyBorder="1" applyAlignment="1">
      <alignment horizontal="center" vertical="center"/>
    </xf>
    <xf numFmtId="0" fontId="0" fillId="0" borderId="57" xfId="0" quotePrefix="1" applyBorder="1" applyAlignment="1">
      <alignment horizontal="center" vertical="center"/>
    </xf>
    <xf numFmtId="0" fontId="0" fillId="0" borderId="56" xfId="0" quotePrefix="1" applyBorder="1" applyAlignment="1">
      <alignment horizontal="center" vertical="center"/>
    </xf>
    <xf numFmtId="0" fontId="0" fillId="0" borderId="1" xfId="0" quotePrefix="1" applyBorder="1" applyAlignment="1">
      <alignment horizontal="center" vertical="center"/>
    </xf>
    <xf numFmtId="0" fontId="0" fillId="0" borderId="2" xfId="0" quotePrefix="1" applyBorder="1" applyAlignment="1">
      <alignment horizontal="center" vertical="center"/>
    </xf>
    <xf numFmtId="0" fontId="21" fillId="3" borderId="60" xfId="0" applyFont="1" applyFill="1" applyBorder="1" applyAlignment="1">
      <alignment vertical="center"/>
    </xf>
    <xf numFmtId="0" fontId="21" fillId="3" borderId="61" xfId="0" applyFont="1" applyFill="1" applyBorder="1" applyAlignment="1">
      <alignment vertical="center"/>
    </xf>
    <xf numFmtId="0" fontId="0" fillId="0" borderId="62" xfId="0" quotePrefix="1" applyBorder="1" applyAlignment="1">
      <alignment horizontal="center" vertical="center"/>
    </xf>
    <xf numFmtId="0" fontId="0" fillId="0" borderId="60" xfId="0" quotePrefix="1" applyBorder="1" applyAlignment="1">
      <alignment horizontal="center" vertical="center"/>
    </xf>
    <xf numFmtId="0" fontId="0" fillId="0" borderId="8" xfId="0" quotePrefix="1" applyBorder="1" applyAlignment="1">
      <alignment horizontal="center" vertical="center"/>
    </xf>
    <xf numFmtId="0" fontId="0" fillId="0" borderId="61" xfId="0" quotePrefix="1" applyBorder="1" applyAlignment="1">
      <alignment horizontal="center" vertical="center"/>
    </xf>
    <xf numFmtId="0" fontId="0" fillId="0" borderId="60" xfId="0" applyBorder="1" applyAlignment="1">
      <alignment horizontal="center" vertical="center"/>
    </xf>
    <xf numFmtId="0" fontId="0" fillId="0" borderId="8" xfId="0" applyBorder="1" applyAlignment="1">
      <alignment horizontal="center" vertical="center"/>
    </xf>
    <xf numFmtId="0" fontId="0" fillId="0" borderId="63" xfId="0" applyBorder="1" applyAlignment="1">
      <alignment horizontal="center" vertical="center"/>
    </xf>
    <xf numFmtId="0" fontId="0" fillId="0" borderId="64" xfId="0" applyBorder="1" applyAlignment="1">
      <alignment horizontal="center" vertical="center"/>
    </xf>
    <xf numFmtId="0" fontId="0" fillId="0" borderId="65" xfId="0" quotePrefix="1" applyBorder="1" applyAlignment="1">
      <alignment horizontal="center" vertical="center"/>
    </xf>
    <xf numFmtId="0" fontId="0" fillId="0" borderId="66" xfId="0" quotePrefix="1" applyBorder="1" applyAlignment="1">
      <alignment horizontal="center" vertical="center"/>
    </xf>
    <xf numFmtId="0" fontId="0" fillId="0" borderId="67" xfId="0" quotePrefix="1" applyBorder="1" applyAlignment="1">
      <alignment horizontal="center" vertical="center"/>
    </xf>
    <xf numFmtId="0" fontId="0" fillId="0" borderId="68" xfId="0" quotePrefix="1" applyBorder="1" applyAlignment="1">
      <alignment horizontal="center" vertical="center"/>
    </xf>
    <xf numFmtId="0" fontId="21" fillId="3" borderId="15" xfId="0" applyFont="1" applyFill="1" applyBorder="1" applyAlignment="1">
      <alignment vertical="center"/>
    </xf>
    <xf numFmtId="0" fontId="21" fillId="3" borderId="16" xfId="0" applyFont="1" applyFill="1" applyBorder="1" applyAlignment="1">
      <alignment vertical="center"/>
    </xf>
    <xf numFmtId="0" fontId="0" fillId="0" borderId="17" xfId="0" quotePrefix="1" applyBorder="1" applyAlignment="1">
      <alignment horizontal="center" vertical="center"/>
    </xf>
    <xf numFmtId="0" fontId="0" fillId="0" borderId="15" xfId="0" quotePrefix="1" applyBorder="1" applyAlignment="1">
      <alignment horizontal="center" vertical="center"/>
    </xf>
    <xf numFmtId="0" fontId="0" fillId="0" borderId="69" xfId="0" quotePrefix="1" applyBorder="1" applyAlignment="1">
      <alignment horizontal="center" vertical="center"/>
    </xf>
    <xf numFmtId="0" fontId="0" fillId="0" borderId="16" xfId="0" quotePrefix="1" applyBorder="1" applyAlignment="1">
      <alignment horizontal="center" vertical="center"/>
    </xf>
    <xf numFmtId="0" fontId="0" fillId="0" borderId="15" xfId="0" applyBorder="1" applyAlignment="1">
      <alignment horizontal="center" vertical="center"/>
    </xf>
    <xf numFmtId="0" fontId="0" fillId="0" borderId="69" xfId="0" applyBorder="1" applyAlignment="1">
      <alignment horizontal="center" vertical="center"/>
    </xf>
    <xf numFmtId="0" fontId="0" fillId="0" borderId="23" xfId="0" applyBorder="1" applyAlignment="1">
      <alignment horizontal="center" vertical="center"/>
    </xf>
    <xf numFmtId="0" fontId="0" fillId="0" borderId="21" xfId="0" applyBorder="1" applyAlignment="1">
      <alignment horizontal="center" vertical="center"/>
    </xf>
    <xf numFmtId="0" fontId="26" fillId="0" borderId="56" xfId="0" quotePrefix="1" applyFont="1" applyBorder="1" applyAlignment="1">
      <alignment horizontal="center" vertical="center"/>
    </xf>
    <xf numFmtId="0" fontId="26" fillId="0" borderId="1" xfId="0" quotePrefix="1" applyFont="1" applyBorder="1" applyAlignment="1">
      <alignment horizontal="center" vertical="center"/>
    </xf>
    <xf numFmtId="0" fontId="26" fillId="0" borderId="2" xfId="0" quotePrefix="1" applyFont="1" applyBorder="1" applyAlignment="1">
      <alignment horizontal="center" vertical="center"/>
    </xf>
    <xf numFmtId="0" fontId="21" fillId="3" borderId="65" xfId="0" applyFont="1" applyFill="1" applyBorder="1" applyAlignment="1">
      <alignment vertical="center"/>
    </xf>
    <xf numFmtId="0" fontId="21" fillId="3" borderId="67" xfId="0" applyFont="1" applyFill="1" applyBorder="1" applyAlignment="1">
      <alignment vertical="center"/>
    </xf>
    <xf numFmtId="0" fontId="0" fillId="0" borderId="70" xfId="0" quotePrefix="1" applyBorder="1" applyAlignment="1">
      <alignment horizontal="center" vertical="center"/>
    </xf>
    <xf numFmtId="0" fontId="0" fillId="0" borderId="65" xfId="0" applyBorder="1" applyAlignment="1">
      <alignment horizontal="center" vertical="center"/>
    </xf>
    <xf numFmtId="0" fontId="0" fillId="0" borderId="66" xfId="0" applyBorder="1" applyAlignment="1">
      <alignment horizontal="center" vertical="center"/>
    </xf>
    <xf numFmtId="0" fontId="0" fillId="0" borderId="68" xfId="0" applyBorder="1" applyAlignment="1">
      <alignment horizontal="center" vertical="center"/>
    </xf>
    <xf numFmtId="0" fontId="0" fillId="0" borderId="71" xfId="0" applyBorder="1" applyAlignment="1">
      <alignment horizontal="center" vertical="center"/>
    </xf>
    <xf numFmtId="0" fontId="0" fillId="0" borderId="23" xfId="0" quotePrefix="1" applyBorder="1" applyAlignment="1">
      <alignment horizontal="center" vertical="center"/>
    </xf>
    <xf numFmtId="0" fontId="0" fillId="0" borderId="59" xfId="0" quotePrefix="1" applyBorder="1" applyAlignment="1">
      <alignment horizontal="center" vertical="center"/>
    </xf>
    <xf numFmtId="0" fontId="27" fillId="0" borderId="65" xfId="0" quotePrefix="1" applyFont="1" applyBorder="1" applyAlignment="1">
      <alignment horizontal="center" vertical="center"/>
    </xf>
    <xf numFmtId="0" fontId="28" fillId="0" borderId="66" xfId="0" quotePrefix="1" applyFont="1" applyBorder="1" applyAlignment="1">
      <alignment horizontal="center" vertical="center"/>
    </xf>
    <xf numFmtId="0" fontId="28" fillId="0" borderId="67" xfId="0" quotePrefix="1" applyFont="1" applyBorder="1" applyAlignment="1">
      <alignment horizontal="center" vertical="center"/>
    </xf>
    <xf numFmtId="0" fontId="0" fillId="0" borderId="36" xfId="0" applyBorder="1" applyAlignment="1">
      <alignment horizontal="center" vertical="center"/>
    </xf>
    <xf numFmtId="0" fontId="0" fillId="0" borderId="42" xfId="0" applyBorder="1" applyAlignment="1">
      <alignment horizontal="center" vertical="center"/>
    </xf>
    <xf numFmtId="0" fontId="0" fillId="0" borderId="67" xfId="0" applyBorder="1" applyAlignment="1">
      <alignment horizontal="center" vertical="center"/>
    </xf>
    <xf numFmtId="0" fontId="31" fillId="0" borderId="0" xfId="0" applyFont="1" applyAlignment="1">
      <alignment vertical="center"/>
    </xf>
    <xf numFmtId="0" fontId="2" fillId="3" borderId="1" xfId="0" applyFont="1" applyFill="1" applyBorder="1" applyAlignment="1">
      <alignment vertical="center"/>
    </xf>
    <xf numFmtId="0" fontId="2" fillId="3" borderId="2" xfId="0" applyFont="1" applyFill="1" applyBorder="1" applyAlignment="1">
      <alignment vertical="center"/>
    </xf>
    <xf numFmtId="0" fontId="0" fillId="0" borderId="94" xfId="0" applyBorder="1" applyAlignment="1">
      <alignment vertical="center"/>
    </xf>
    <xf numFmtId="0" fontId="0" fillId="4" borderId="94" xfId="0" applyFill="1" applyBorder="1" applyAlignment="1">
      <alignment vertical="center"/>
    </xf>
    <xf numFmtId="174" fontId="10" fillId="9" borderId="94" xfId="1" applyNumberFormat="1" applyFont="1" applyFill="1" applyBorder="1" applyAlignment="1">
      <alignment vertical="center"/>
    </xf>
    <xf numFmtId="172" fontId="10" fillId="9" borderId="94" xfId="1" applyNumberFormat="1" applyFont="1" applyFill="1" applyBorder="1" applyAlignment="1">
      <alignment vertical="center"/>
    </xf>
    <xf numFmtId="166" fontId="10" fillId="9" borderId="94" xfId="2" applyNumberFormat="1" applyFont="1" applyFill="1" applyBorder="1" applyAlignment="1">
      <alignment vertical="center"/>
    </xf>
    <xf numFmtId="0" fontId="10" fillId="9" borderId="94" xfId="0" applyFont="1" applyFill="1" applyBorder="1" applyAlignment="1">
      <alignment vertical="center"/>
    </xf>
    <xf numFmtId="0" fontId="2" fillId="3" borderId="94" xfId="0" applyFont="1" applyFill="1" applyBorder="1" applyAlignment="1">
      <alignment vertical="center"/>
    </xf>
    <xf numFmtId="0" fontId="2" fillId="3" borderId="94" xfId="0" applyFont="1" applyFill="1" applyBorder="1" applyAlignment="1">
      <alignment horizontal="center" vertical="center"/>
    </xf>
    <xf numFmtId="0" fontId="0" fillId="0" borderId="94" xfId="0" applyBorder="1" applyAlignment="1">
      <alignment vertical="center" wrapText="1"/>
    </xf>
    <xf numFmtId="0" fontId="2" fillId="3" borderId="94" xfId="0" applyFont="1" applyFill="1" applyBorder="1" applyAlignment="1">
      <alignment horizontal="left" vertical="center"/>
    </xf>
    <xf numFmtId="0" fontId="0" fillId="2" borderId="94" xfId="0" applyFill="1" applyBorder="1" applyAlignment="1">
      <alignment horizontal="center" vertical="center"/>
    </xf>
    <xf numFmtId="0" fontId="2" fillId="3" borderId="61" xfId="0" applyFont="1" applyFill="1" applyBorder="1" applyAlignment="1">
      <alignment vertical="center"/>
    </xf>
    <xf numFmtId="14" fontId="0" fillId="4" borderId="98" xfId="0" applyNumberFormat="1" applyFill="1" applyBorder="1" applyAlignment="1">
      <alignment vertical="center"/>
    </xf>
    <xf numFmtId="0" fontId="2" fillId="0" borderId="94" xfId="0" applyFont="1" applyBorder="1" applyAlignment="1">
      <alignment vertical="center" wrapText="1"/>
    </xf>
    <xf numFmtId="0" fontId="0" fillId="0" borderId="94" xfId="0" applyBorder="1" applyAlignment="1">
      <alignment vertical="center"/>
    </xf>
    <xf numFmtId="0" fontId="14" fillId="2" borderId="94" xfId="0" applyFont="1" applyFill="1" applyBorder="1" applyAlignment="1">
      <alignment horizontal="center" vertical="center"/>
    </xf>
    <xf numFmtId="0" fontId="39" fillId="2" borderId="94" xfId="0" applyFont="1" applyFill="1" applyBorder="1" applyAlignment="1">
      <alignment horizontal="center" vertical="center"/>
    </xf>
    <xf numFmtId="0" fontId="2" fillId="3" borderId="1" xfId="0" applyFont="1" applyFill="1" applyBorder="1" applyAlignment="1">
      <alignment vertical="center"/>
    </xf>
    <xf numFmtId="0" fontId="2" fillId="3" borderId="2" xfId="0" applyFont="1" applyFill="1" applyBorder="1" applyAlignment="1">
      <alignment vertical="center"/>
    </xf>
    <xf numFmtId="0" fontId="2" fillId="3" borderId="1" xfId="0" applyFont="1" applyFill="1" applyBorder="1" applyAlignment="1">
      <alignment vertical="center"/>
    </xf>
    <xf numFmtId="0" fontId="0" fillId="4" borderId="1" xfId="0" applyFill="1" applyBorder="1" applyAlignment="1">
      <alignment vertical="center"/>
    </xf>
    <xf numFmtId="0" fontId="2" fillId="3" borderId="1" xfId="0" applyFont="1" applyFill="1" applyBorder="1" applyAlignment="1">
      <alignment vertical="center"/>
    </xf>
    <xf numFmtId="0" fontId="0" fillId="0" borderId="94" xfId="0" applyBorder="1" applyAlignment="1">
      <alignment vertical="center"/>
    </xf>
    <xf numFmtId="0" fontId="10" fillId="9" borderId="1" xfId="0" applyFont="1" applyFill="1" applyBorder="1" applyAlignment="1">
      <alignment vertical="center"/>
    </xf>
    <xf numFmtId="166" fontId="10" fillId="9" borderId="1" xfId="2" applyNumberFormat="1" applyFont="1" applyFill="1" applyBorder="1" applyAlignment="1">
      <alignment horizontal="left" vertical="center"/>
    </xf>
    <xf numFmtId="0" fontId="10" fillId="9" borderId="1" xfId="0" applyFont="1" applyFill="1" applyBorder="1" applyAlignment="1">
      <alignment vertical="center" wrapText="1"/>
    </xf>
    <xf numFmtId="174" fontId="10" fillId="9" borderId="1" xfId="0" applyNumberFormat="1" applyFont="1" applyFill="1" applyBorder="1" applyAlignment="1">
      <alignment vertical="center" wrapText="1"/>
    </xf>
    <xf numFmtId="164" fontId="10" fillId="9" borderId="1" xfId="1" applyNumberFormat="1" applyFont="1" applyFill="1" applyBorder="1" applyAlignment="1">
      <alignment horizontal="right" vertical="center" wrapText="1"/>
    </xf>
    <xf numFmtId="174" fontId="10" fillId="9" borderId="1" xfId="1" applyNumberFormat="1" applyFont="1" applyFill="1" applyBorder="1" applyAlignment="1">
      <alignment vertical="center" wrapText="1"/>
    </xf>
    <xf numFmtId="181" fontId="10" fillId="9" borderId="1" xfId="1" applyNumberFormat="1" applyFont="1" applyFill="1" applyBorder="1" applyAlignment="1">
      <alignment vertical="center"/>
    </xf>
    <xf numFmtId="174" fontId="10" fillId="9" borderId="1" xfId="0" applyNumberFormat="1" applyFont="1" applyFill="1" applyBorder="1" applyAlignment="1">
      <alignment vertical="center"/>
    </xf>
    <xf numFmtId="0" fontId="40" fillId="4" borderId="1" xfId="0" applyFont="1" applyFill="1" applyBorder="1" applyAlignment="1">
      <alignment vertical="center"/>
    </xf>
    <xf numFmtId="14" fontId="40" fillId="4" borderId="1" xfId="0" applyNumberFormat="1" applyFont="1" applyFill="1" applyBorder="1" applyAlignment="1">
      <alignment horizontal="left" vertical="center"/>
    </xf>
    <xf numFmtId="14" fontId="10" fillId="9" borderId="1" xfId="0" applyNumberFormat="1" applyFont="1" applyFill="1" applyBorder="1" applyAlignment="1">
      <alignment vertical="center"/>
    </xf>
    <xf numFmtId="165" fontId="10" fillId="9" borderId="1" xfId="1" applyNumberFormat="1" applyFont="1" applyFill="1" applyBorder="1" applyAlignment="1">
      <alignment vertical="center" wrapText="1"/>
    </xf>
    <xf numFmtId="165" fontId="0" fillId="4" borderId="1" xfId="1" applyNumberFormat="1" applyFont="1" applyFill="1" applyBorder="1" applyAlignment="1">
      <alignment vertical="center" wrapText="1"/>
    </xf>
    <xf numFmtId="0" fontId="0" fillId="0" borderId="94" xfId="0" quotePrefix="1" applyBorder="1" applyAlignment="1">
      <alignment vertical="center" wrapText="1"/>
    </xf>
    <xf numFmtId="0" fontId="0" fillId="4" borderId="1" xfId="0" applyFill="1" applyBorder="1" applyAlignment="1">
      <alignment vertical="center" wrapText="1"/>
    </xf>
    <xf numFmtId="0" fontId="0" fillId="4" borderId="1" xfId="0" quotePrefix="1" applyFill="1" applyBorder="1" applyAlignment="1">
      <alignment vertical="center" wrapText="1"/>
    </xf>
    <xf numFmtId="182" fontId="0" fillId="0" borderId="0" xfId="1" applyNumberFormat="1" applyFont="1" applyAlignment="1">
      <alignment vertical="center"/>
    </xf>
    <xf numFmtId="0" fontId="40" fillId="4" borderId="2" xfId="0" applyFont="1" applyFill="1" applyBorder="1" applyAlignment="1">
      <alignment vertical="center"/>
    </xf>
    <xf numFmtId="0" fontId="0" fillId="4" borderId="1" xfId="0" applyFill="1" applyBorder="1" applyAlignment="1">
      <alignment vertical="center" wrapText="1"/>
    </xf>
    <xf numFmtId="0" fontId="10" fillId="9" borderId="1" xfId="0" applyFont="1" applyFill="1" applyBorder="1" applyAlignment="1">
      <alignment vertical="center" wrapText="1"/>
    </xf>
    <xf numFmtId="0" fontId="0" fillId="4" borderId="1" xfId="0" quotePrefix="1" applyFill="1" applyBorder="1" applyAlignment="1">
      <alignment vertical="center" wrapText="1"/>
    </xf>
    <xf numFmtId="41" fontId="0" fillId="0" borderId="0" xfId="1" applyFont="1" applyAlignment="1">
      <alignment vertical="center" wrapText="1"/>
    </xf>
    <xf numFmtId="166" fontId="0" fillId="0" borderId="0" xfId="2" applyNumberFormat="1" applyFont="1" applyAlignment="1">
      <alignment vertical="center" wrapText="1"/>
    </xf>
    <xf numFmtId="180" fontId="0" fillId="0" borderId="0" xfId="0" applyNumberFormat="1" applyAlignment="1">
      <alignment vertical="center" wrapText="1"/>
    </xf>
    <xf numFmtId="0" fontId="0" fillId="4" borderId="1" xfId="0" quotePrefix="1" applyFill="1" applyBorder="1" applyAlignment="1">
      <alignment vertical="center" wrapText="1"/>
    </xf>
    <xf numFmtId="41" fontId="6" fillId="0" borderId="0" xfId="1" applyFont="1"/>
    <xf numFmtId="41" fontId="0" fillId="0" borderId="1" xfId="1" applyFont="1" applyBorder="1" applyAlignment="1">
      <alignment vertical="center"/>
    </xf>
    <xf numFmtId="0" fontId="2" fillId="5" borderId="1" xfId="0" applyFont="1" applyFill="1" applyBorder="1" applyAlignment="1">
      <alignment horizontal="center" vertical="center"/>
    </xf>
    <xf numFmtId="41" fontId="2" fillId="5" borderId="1" xfId="1" applyFont="1" applyFill="1" applyBorder="1" applyAlignment="1">
      <alignment vertical="center"/>
    </xf>
    <xf numFmtId="41" fontId="0" fillId="3" borderId="1" xfId="0" applyNumberFormat="1" applyFill="1" applyBorder="1" applyAlignment="1">
      <alignment vertical="center"/>
    </xf>
    <xf numFmtId="41" fontId="0" fillId="3" borderId="1" xfId="0" applyNumberFormat="1" applyFill="1" applyBorder="1" applyAlignment="1">
      <alignment horizontal="right" vertical="center"/>
    </xf>
    <xf numFmtId="183" fontId="2" fillId="5" borderId="1" xfId="1" applyNumberFormat="1" applyFont="1" applyFill="1" applyBorder="1" applyAlignment="1">
      <alignment vertical="center"/>
    </xf>
    <xf numFmtId="41" fontId="0" fillId="3" borderId="8" xfId="0" applyNumberFormat="1" applyFill="1" applyBorder="1" applyAlignment="1">
      <alignment vertical="center"/>
    </xf>
    <xf numFmtId="41" fontId="0" fillId="3" borderId="8" xfId="0" applyNumberFormat="1" applyFill="1" applyBorder="1" applyAlignment="1">
      <alignment horizontal="right" vertical="center"/>
    </xf>
    <xf numFmtId="41" fontId="2" fillId="2" borderId="1" xfId="0" applyNumberFormat="1" applyFont="1" applyFill="1" applyBorder="1" applyAlignment="1">
      <alignment vertical="center"/>
    </xf>
    <xf numFmtId="0" fontId="41" fillId="17" borderId="102" xfId="0" applyFont="1" applyFill="1" applyBorder="1" applyAlignment="1">
      <alignment vertical="center"/>
    </xf>
    <xf numFmtId="0" fontId="41" fillId="17" borderId="103" xfId="0" applyFont="1" applyFill="1" applyBorder="1" applyAlignment="1">
      <alignment vertical="center"/>
    </xf>
    <xf numFmtId="41" fontId="46" fillId="7" borderId="104" xfId="6" applyFont="1" applyFill="1" applyBorder="1" applyAlignment="1">
      <alignment horizontal="center" vertical="center"/>
    </xf>
    <xf numFmtId="0" fontId="48" fillId="7" borderId="104" xfId="165" applyFont="1" applyFill="1" applyBorder="1">
      <alignment vertical="center"/>
    </xf>
    <xf numFmtId="0" fontId="47" fillId="7" borderId="104" xfId="8" applyFont="1" applyFill="1" applyBorder="1">
      <alignment vertical="center"/>
    </xf>
    <xf numFmtId="41" fontId="48" fillId="7" borderId="104" xfId="6" applyFont="1" applyFill="1" applyBorder="1" applyAlignment="1">
      <alignment horizontal="right" vertical="center"/>
    </xf>
    <xf numFmtId="41" fontId="48" fillId="19" borderId="104" xfId="6" applyFont="1" applyFill="1" applyBorder="1" applyAlignment="1">
      <alignment horizontal="right" vertical="center"/>
    </xf>
    <xf numFmtId="41" fontId="46" fillId="19" borderId="104" xfId="6" applyFont="1" applyFill="1" applyBorder="1" applyAlignment="1">
      <alignment horizontal="center" vertical="center" wrapText="1"/>
    </xf>
    <xf numFmtId="0" fontId="46" fillId="19" borderId="104" xfId="6" quotePrefix="1" applyNumberFormat="1" applyFont="1" applyFill="1" applyBorder="1" applyAlignment="1">
      <alignment horizontal="center" vertical="center"/>
    </xf>
    <xf numFmtId="41" fontId="48" fillId="7" borderId="104" xfId="6" applyFont="1" applyFill="1" applyBorder="1" applyAlignment="1">
      <alignment horizontal="center" vertical="center"/>
    </xf>
    <xf numFmtId="41" fontId="0" fillId="0" borderId="1" xfId="1" applyFont="1" applyBorder="1" applyAlignment="1">
      <alignment vertical="center"/>
    </xf>
    <xf numFmtId="0" fontId="0" fillId="0" borderId="0" xfId="0" quotePrefix="1" applyAlignment="1">
      <alignment vertical="center"/>
    </xf>
    <xf numFmtId="14" fontId="0" fillId="0" borderId="1" xfId="0" applyNumberFormat="1" applyBorder="1" applyAlignment="1">
      <alignment vertical="center"/>
    </xf>
    <xf numFmtId="0" fontId="2" fillId="3" borderId="1" xfId="0" applyFont="1" applyFill="1" applyBorder="1" applyAlignment="1">
      <alignment vertical="center"/>
    </xf>
    <xf numFmtId="41" fontId="0" fillId="0" borderId="1" xfId="1" applyFont="1" applyBorder="1" applyAlignment="1">
      <alignment vertical="center"/>
    </xf>
    <xf numFmtId="0" fontId="74" fillId="20" borderId="1" xfId="0" applyFont="1" applyFill="1" applyBorder="1" applyAlignment="1">
      <alignment vertical="center"/>
    </xf>
    <xf numFmtId="0" fontId="34" fillId="13" borderId="18" xfId="0" applyFont="1" applyFill="1" applyBorder="1" applyAlignment="1">
      <alignment horizontal="left" vertical="top" wrapText="1"/>
    </xf>
    <xf numFmtId="0" fontId="34" fillId="13" borderId="19" xfId="0" applyFont="1" applyFill="1" applyBorder="1" applyAlignment="1">
      <alignment horizontal="left" vertical="top" wrapText="1"/>
    </xf>
    <xf numFmtId="0" fontId="34" fillId="13" borderId="20" xfId="0" applyFont="1" applyFill="1" applyBorder="1" applyAlignment="1">
      <alignment horizontal="left" vertical="top" wrapText="1"/>
    </xf>
    <xf numFmtId="0" fontId="34" fillId="13" borderId="46" xfId="0" applyFont="1" applyFill="1" applyBorder="1" applyAlignment="1">
      <alignment horizontal="left" vertical="top" wrapText="1"/>
    </xf>
    <xf numFmtId="0" fontId="34" fillId="13" borderId="0" xfId="0" applyFont="1" applyFill="1" applyAlignment="1">
      <alignment horizontal="left" vertical="top" wrapText="1"/>
    </xf>
    <xf numFmtId="0" fontId="34" fillId="13" borderId="93" xfId="0" applyFont="1" applyFill="1" applyBorder="1" applyAlignment="1">
      <alignment horizontal="left" vertical="top" wrapText="1"/>
    </xf>
    <xf numFmtId="0" fontId="34" fillId="13" borderId="81" xfId="0" applyFont="1" applyFill="1" applyBorder="1" applyAlignment="1">
      <alignment horizontal="left" vertical="top" wrapText="1"/>
    </xf>
    <xf numFmtId="0" fontId="34" fillId="13" borderId="82" xfId="0" applyFont="1" applyFill="1" applyBorder="1" applyAlignment="1">
      <alignment horizontal="left" vertical="top" wrapText="1"/>
    </xf>
    <xf numFmtId="0" fontId="34" fillId="13" borderId="7" xfId="0" applyFont="1" applyFill="1" applyBorder="1" applyAlignment="1">
      <alignment horizontal="left" vertical="top" wrapText="1"/>
    </xf>
    <xf numFmtId="0" fontId="33" fillId="13" borderId="87" xfId="0" applyFont="1" applyFill="1" applyBorder="1" applyAlignment="1">
      <alignment horizontal="left" vertical="center" wrapText="1"/>
    </xf>
    <xf numFmtId="0" fontId="33" fillId="13" borderId="88" xfId="0" applyFont="1" applyFill="1" applyBorder="1" applyAlignment="1">
      <alignment horizontal="left" vertical="center" wrapText="1"/>
    </xf>
    <xf numFmtId="0" fontId="34" fillId="0" borderId="87" xfId="0" applyFont="1" applyBorder="1" applyAlignment="1">
      <alignment horizontal="center" vertical="center" wrapText="1"/>
    </xf>
    <xf numFmtId="0" fontId="34" fillId="0" borderId="89" xfId="0" applyFont="1" applyBorder="1" applyAlignment="1">
      <alignment horizontal="center" vertical="center" wrapText="1"/>
    </xf>
    <xf numFmtId="0" fontId="36" fillId="0" borderId="88" xfId="0" applyFont="1" applyBorder="1" applyAlignment="1">
      <alignment horizontal="center" vertical="center" wrapText="1"/>
    </xf>
    <xf numFmtId="0" fontId="36" fillId="0" borderId="91" xfId="0" applyFont="1" applyBorder="1" applyAlignment="1">
      <alignment horizontal="center" vertical="center" wrapText="1"/>
    </xf>
    <xf numFmtId="0" fontId="36" fillId="0" borderId="89" xfId="0" applyFont="1" applyBorder="1" applyAlignment="1">
      <alignment horizontal="center" vertical="center" wrapText="1"/>
    </xf>
    <xf numFmtId="0" fontId="36" fillId="0" borderId="90" xfId="0" applyFont="1" applyBorder="1" applyAlignment="1">
      <alignment horizontal="center" vertical="center" wrapText="1"/>
    </xf>
    <xf numFmtId="0" fontId="33" fillId="8" borderId="83" xfId="0" applyFont="1" applyFill="1" applyBorder="1" applyAlignment="1">
      <alignment horizontal="left" vertical="center" wrapText="1"/>
    </xf>
    <xf numFmtId="0" fontId="33" fillId="8" borderId="84" xfId="0" applyFont="1" applyFill="1" applyBorder="1" applyAlignment="1">
      <alignment horizontal="left" vertical="center" wrapText="1"/>
    </xf>
    <xf numFmtId="0" fontId="34" fillId="8" borderId="83" xfId="0" applyFont="1" applyFill="1" applyBorder="1" applyAlignment="1">
      <alignment horizontal="center" vertical="center" wrapText="1"/>
    </xf>
    <xf numFmtId="0" fontId="34" fillId="8" borderId="85" xfId="0" applyFont="1" applyFill="1" applyBorder="1" applyAlignment="1">
      <alignment horizontal="center" vertical="center" wrapText="1"/>
    </xf>
    <xf numFmtId="0" fontId="36" fillId="8" borderId="84" xfId="0" applyFont="1" applyFill="1" applyBorder="1" applyAlignment="1">
      <alignment horizontal="center" vertical="center" wrapText="1"/>
    </xf>
    <xf numFmtId="0" fontId="36" fillId="8" borderId="92" xfId="0" applyFont="1" applyFill="1" applyBorder="1" applyAlignment="1">
      <alignment horizontal="center" vertical="center" wrapText="1"/>
    </xf>
    <xf numFmtId="0" fontId="35" fillId="8" borderId="85" xfId="0" applyFont="1" applyFill="1" applyBorder="1" applyAlignment="1">
      <alignment horizontal="center" vertical="center" wrapText="1"/>
    </xf>
    <xf numFmtId="0" fontId="35" fillId="8" borderId="86" xfId="0" applyFont="1" applyFill="1" applyBorder="1" applyAlignment="1">
      <alignment horizontal="center" vertical="center" wrapText="1"/>
    </xf>
    <xf numFmtId="0" fontId="32" fillId="12" borderId="18" xfId="0" applyFont="1" applyFill="1" applyBorder="1" applyAlignment="1">
      <alignment horizontal="center" vertical="center" wrapText="1"/>
    </xf>
    <xf numFmtId="0" fontId="32" fillId="12" borderId="19" xfId="0" applyFont="1" applyFill="1" applyBorder="1" applyAlignment="1">
      <alignment horizontal="center" vertical="center" wrapText="1"/>
    </xf>
    <xf numFmtId="0" fontId="32" fillId="12" borderId="81" xfId="0" applyFont="1" applyFill="1" applyBorder="1" applyAlignment="1">
      <alignment horizontal="center" vertical="center" wrapText="1"/>
    </xf>
    <xf numFmtId="0" fontId="32" fillId="12" borderId="82" xfId="0" applyFont="1" applyFill="1" applyBorder="1" applyAlignment="1">
      <alignment horizontal="center" vertical="center" wrapText="1"/>
    </xf>
    <xf numFmtId="0" fontId="33" fillId="8" borderId="77" xfId="0" applyFont="1" applyFill="1" applyBorder="1" applyAlignment="1">
      <alignment horizontal="left" vertical="center" wrapText="1"/>
    </xf>
    <xf numFmtId="0" fontId="33" fillId="8" borderId="78" xfId="0" applyFont="1" applyFill="1" applyBorder="1" applyAlignment="1">
      <alignment horizontal="left" vertical="center" wrapText="1"/>
    </xf>
    <xf numFmtId="0" fontId="34" fillId="8" borderId="77" xfId="0" applyFont="1" applyFill="1" applyBorder="1" applyAlignment="1">
      <alignment horizontal="center" vertical="center" wrapText="1"/>
    </xf>
    <xf numFmtId="0" fontId="34" fillId="8" borderId="79" xfId="0" applyFont="1" applyFill="1" applyBorder="1" applyAlignment="1">
      <alignment horizontal="center" vertical="center" wrapText="1"/>
    </xf>
    <xf numFmtId="0" fontId="34" fillId="8" borderId="80" xfId="0" applyFont="1" applyFill="1" applyBorder="1" applyAlignment="1">
      <alignment horizontal="center" vertical="center" wrapText="1"/>
    </xf>
    <xf numFmtId="0" fontId="34" fillId="8" borderId="86" xfId="0" applyFont="1" applyFill="1" applyBorder="1" applyAlignment="1">
      <alignment horizontal="center" vertical="center" wrapText="1"/>
    </xf>
    <xf numFmtId="0" fontId="32" fillId="12" borderId="46" xfId="0" applyFont="1" applyFill="1" applyBorder="1" applyAlignment="1">
      <alignment horizontal="center" vertical="center" wrapText="1"/>
    </xf>
    <xf numFmtId="0" fontId="32" fillId="12" borderId="0" xfId="0" applyFont="1" applyFill="1" applyAlignment="1">
      <alignment horizontal="center" vertical="center" wrapText="1"/>
    </xf>
    <xf numFmtId="0" fontId="35" fillId="8" borderId="79" xfId="0" applyFont="1" applyFill="1" applyBorder="1" applyAlignment="1">
      <alignment horizontal="center" vertical="center" wrapText="1"/>
    </xf>
    <xf numFmtId="0" fontId="36" fillId="8" borderId="79" xfId="0" applyFont="1" applyFill="1" applyBorder="1" applyAlignment="1">
      <alignment horizontal="center" vertical="center" wrapText="1"/>
    </xf>
    <xf numFmtId="0" fontId="36" fillId="8" borderId="80" xfId="0" applyFont="1" applyFill="1" applyBorder="1" applyAlignment="1">
      <alignment horizontal="center" vertical="center" wrapText="1"/>
    </xf>
    <xf numFmtId="0" fontId="33" fillId="8" borderId="87" xfId="0" applyFont="1" applyFill="1" applyBorder="1" applyAlignment="1">
      <alignment horizontal="left" vertical="center" wrapText="1"/>
    </xf>
    <xf numFmtId="0" fontId="33" fillId="8" borderId="88" xfId="0" applyFont="1" applyFill="1" applyBorder="1" applyAlignment="1">
      <alignment horizontal="left" vertical="center" wrapText="1"/>
    </xf>
    <xf numFmtId="0" fontId="34" fillId="8" borderId="87" xfId="0" applyFont="1" applyFill="1" applyBorder="1" applyAlignment="1">
      <alignment horizontal="center" vertical="center" wrapText="1"/>
    </xf>
    <xf numFmtId="0" fontId="34" fillId="8" borderId="89" xfId="0" applyFont="1" applyFill="1" applyBorder="1" applyAlignment="1">
      <alignment horizontal="center" vertical="center" wrapText="1"/>
    </xf>
    <xf numFmtId="0" fontId="35" fillId="8" borderId="89" xfId="0" applyFont="1" applyFill="1" applyBorder="1" applyAlignment="1">
      <alignment horizontal="center" vertical="center" wrapText="1"/>
    </xf>
    <xf numFmtId="0" fontId="36" fillId="8" borderId="89" xfId="0" applyFont="1" applyFill="1" applyBorder="1" applyAlignment="1">
      <alignment horizontal="center" vertical="center" wrapText="1"/>
    </xf>
    <xf numFmtId="0" fontId="36" fillId="8" borderId="90" xfId="0" applyFont="1" applyFill="1" applyBorder="1" applyAlignment="1">
      <alignment horizontal="center" vertical="center" wrapText="1"/>
    </xf>
    <xf numFmtId="43" fontId="36" fillId="0" borderId="88" xfId="4" applyFont="1" applyFill="1" applyBorder="1" applyAlignment="1">
      <alignment horizontal="center" vertical="center" wrapText="1"/>
    </xf>
    <xf numFmtId="43" fontId="36" fillId="0" borderId="91" xfId="4" applyFont="1" applyFill="1" applyBorder="1" applyAlignment="1">
      <alignment horizontal="center" vertical="center" wrapText="1"/>
    </xf>
    <xf numFmtId="0" fontId="22" fillId="0" borderId="57" xfId="0" applyFont="1" applyBorder="1" applyAlignment="1">
      <alignment horizontal="center" vertical="center"/>
    </xf>
    <xf numFmtId="0" fontId="22" fillId="0" borderId="4" xfId="0" applyFont="1" applyBorder="1" applyAlignment="1">
      <alignment horizontal="center" vertical="center"/>
    </xf>
    <xf numFmtId="0" fontId="22" fillId="0" borderId="58" xfId="0" applyFont="1" applyBorder="1" applyAlignment="1">
      <alignment horizontal="center" vertical="center"/>
    </xf>
    <xf numFmtId="0" fontId="21" fillId="3" borderId="36" xfId="0" applyFont="1" applyFill="1" applyBorder="1" applyAlignment="1">
      <alignment horizontal="left" vertical="center"/>
    </xf>
    <xf numFmtId="0" fontId="21" fillId="3" borderId="72" xfId="0" applyFont="1" applyFill="1" applyBorder="1" applyAlignment="1">
      <alignment horizontal="left" vertical="center"/>
    </xf>
    <xf numFmtId="0" fontId="22" fillId="3" borderId="57" xfId="0" applyFont="1" applyFill="1" applyBorder="1" applyAlignment="1">
      <alignment horizontal="left" vertical="center"/>
    </xf>
    <xf numFmtId="0" fontId="22" fillId="3" borderId="4" xfId="0" applyFont="1" applyFill="1" applyBorder="1" applyAlignment="1">
      <alignment horizontal="left" vertical="center"/>
    </xf>
    <xf numFmtId="0" fontId="29" fillId="0" borderId="0" xfId="0" applyFont="1" applyAlignment="1">
      <alignment horizontal="center" vertical="center"/>
    </xf>
    <xf numFmtId="0" fontId="30" fillId="11" borderId="73" xfId="0" applyFont="1" applyFill="1" applyBorder="1" applyAlignment="1">
      <alignment horizontal="center" vertical="center" wrapText="1"/>
    </xf>
    <xf numFmtId="0" fontId="30" fillId="11" borderId="74" xfId="0" applyFont="1" applyFill="1" applyBorder="1" applyAlignment="1">
      <alignment horizontal="center" vertical="center" wrapText="1"/>
    </xf>
    <xf numFmtId="0" fontId="30" fillId="11" borderId="75" xfId="0" applyFont="1" applyFill="1" applyBorder="1" applyAlignment="1">
      <alignment horizontal="center" vertical="center" wrapText="1"/>
    </xf>
    <xf numFmtId="0" fontId="30" fillId="11" borderId="76" xfId="0" applyFont="1" applyFill="1" applyBorder="1" applyAlignment="1">
      <alignment horizontal="center" vertical="center" wrapText="1"/>
    </xf>
    <xf numFmtId="0" fontId="30" fillId="11" borderId="6" xfId="0" applyFont="1" applyFill="1" applyBorder="1" applyAlignment="1">
      <alignment horizontal="center" vertical="center" wrapText="1"/>
    </xf>
    <xf numFmtId="0" fontId="21" fillId="3" borderId="55" xfId="0" applyFont="1" applyFill="1" applyBorder="1" applyAlignment="1">
      <alignment horizontal="center" vertical="center" wrapText="1"/>
    </xf>
    <xf numFmtId="0" fontId="21" fillId="3" borderId="25" xfId="0" applyFont="1" applyFill="1" applyBorder="1" applyAlignment="1">
      <alignment horizontal="center" vertical="center" wrapText="1"/>
    </xf>
    <xf numFmtId="0" fontId="22" fillId="5" borderId="15" xfId="0" applyFont="1" applyFill="1" applyBorder="1" applyAlignment="1">
      <alignment horizontal="center" vertical="center"/>
    </xf>
    <xf numFmtId="0" fontId="22" fillId="5" borderId="16" xfId="0" applyFont="1" applyFill="1" applyBorder="1" applyAlignment="1">
      <alignment horizontal="center" vertical="center"/>
    </xf>
    <xf numFmtId="0" fontId="22" fillId="3" borderId="18" xfId="0" applyFont="1" applyFill="1" applyBorder="1" applyAlignment="1">
      <alignment horizontal="center" vertical="center"/>
    </xf>
    <xf numFmtId="0" fontId="22" fillId="3" borderId="19" xfId="0" applyFont="1" applyFill="1" applyBorder="1" applyAlignment="1">
      <alignment horizontal="center" vertical="center"/>
    </xf>
    <xf numFmtId="0" fontId="22" fillId="3" borderId="20" xfId="0" applyFont="1" applyFill="1" applyBorder="1" applyAlignment="1">
      <alignment horizontal="center" vertical="center"/>
    </xf>
    <xf numFmtId="0" fontId="22" fillId="3" borderId="21" xfId="0" applyFont="1" applyFill="1" applyBorder="1" applyAlignment="1">
      <alignment horizontal="center" vertical="center"/>
    </xf>
    <xf numFmtId="0" fontId="22" fillId="3" borderId="22" xfId="0" applyFont="1" applyFill="1" applyBorder="1" applyAlignment="1">
      <alignment horizontal="center" vertical="center"/>
    </xf>
    <xf numFmtId="0" fontId="22" fillId="3" borderId="23" xfId="0" applyFont="1" applyFill="1" applyBorder="1" applyAlignment="1">
      <alignment horizontal="center" vertical="center"/>
    </xf>
    <xf numFmtId="0" fontId="22" fillId="0" borderId="24" xfId="0" applyFont="1" applyBorder="1" applyAlignment="1">
      <alignment horizontal="center" vertical="center"/>
    </xf>
    <xf numFmtId="0" fontId="22" fillId="0" borderId="25" xfId="0" applyFont="1" applyBorder="1" applyAlignment="1">
      <alignment horizontal="center" vertical="center"/>
    </xf>
    <xf numFmtId="0" fontId="21" fillId="0" borderId="26" xfId="0" applyFont="1" applyBorder="1" applyAlignment="1">
      <alignment horizontal="center" vertical="center" wrapText="1"/>
    </xf>
    <xf numFmtId="0" fontId="21" fillId="0" borderId="27" xfId="0" applyFont="1" applyBorder="1" applyAlignment="1">
      <alignment horizontal="center" vertical="center"/>
    </xf>
    <xf numFmtId="0" fontId="21" fillId="0" borderId="28" xfId="0" applyFont="1" applyBorder="1" applyAlignment="1">
      <alignment horizontal="center" vertical="center"/>
    </xf>
    <xf numFmtId="0" fontId="24" fillId="0" borderId="29" xfId="0" applyFont="1" applyBorder="1" applyAlignment="1">
      <alignment horizontal="center" vertical="center" wrapText="1"/>
    </xf>
    <xf numFmtId="0" fontId="24" fillId="0" borderId="27" xfId="0" applyFont="1" applyBorder="1" applyAlignment="1">
      <alignment horizontal="center" vertical="center"/>
    </xf>
    <xf numFmtId="0" fontId="24" fillId="0" borderId="30" xfId="0" applyFont="1" applyBorder="1" applyAlignment="1">
      <alignment horizontal="center" vertical="center"/>
    </xf>
    <xf numFmtId="0" fontId="21" fillId="0" borderId="31" xfId="0" applyFont="1" applyBorder="1" applyAlignment="1">
      <alignment horizontal="center" vertical="center"/>
    </xf>
    <xf numFmtId="0" fontId="21" fillId="0" borderId="32" xfId="0" applyFont="1" applyBorder="1" applyAlignment="1">
      <alignment horizontal="center" vertical="center"/>
    </xf>
    <xf numFmtId="0" fontId="21" fillId="0" borderId="33" xfId="0" applyFont="1" applyBorder="1" applyAlignment="1">
      <alignment horizontal="center" vertical="center"/>
    </xf>
    <xf numFmtId="0" fontId="22" fillId="5" borderId="34" xfId="0" applyFont="1" applyFill="1" applyBorder="1" applyAlignment="1">
      <alignment horizontal="center" vertical="center"/>
    </xf>
    <xf numFmtId="0" fontId="22" fillId="5" borderId="35" xfId="0" applyFont="1" applyFill="1" applyBorder="1" applyAlignment="1">
      <alignment horizontal="center" vertical="center"/>
    </xf>
    <xf numFmtId="0" fontId="22" fillId="0" borderId="44" xfId="0" applyFont="1" applyBorder="1" applyAlignment="1">
      <alignment horizontal="center" vertical="center"/>
    </xf>
    <xf numFmtId="0" fontId="22" fillId="0" borderId="45" xfId="0" applyFont="1" applyBorder="1" applyAlignment="1">
      <alignment horizontal="center" vertical="center"/>
    </xf>
    <xf numFmtId="0" fontId="21" fillId="5" borderId="39" xfId="0" applyFont="1" applyFill="1" applyBorder="1" applyAlignment="1">
      <alignment horizontal="center" vertical="center"/>
    </xf>
    <xf numFmtId="0" fontId="21" fillId="5" borderId="50" xfId="0" applyFont="1" applyFill="1" applyBorder="1" applyAlignment="1">
      <alignment horizontal="center" vertical="center"/>
    </xf>
    <xf numFmtId="0" fontId="21" fillId="5" borderId="53" xfId="0" applyFont="1" applyFill="1" applyBorder="1" applyAlignment="1">
      <alignment horizontal="center" vertical="center"/>
    </xf>
    <xf numFmtId="0" fontId="21" fillId="5" borderId="54" xfId="0" applyFont="1" applyFill="1" applyBorder="1" applyAlignment="1">
      <alignment horizontal="center" vertical="center"/>
    </xf>
    <xf numFmtId="0" fontId="21" fillId="3" borderId="24" xfId="0" applyFont="1" applyFill="1" applyBorder="1" applyAlignment="1">
      <alignment horizontal="center" vertical="center" wrapText="1"/>
    </xf>
    <xf numFmtId="0" fontId="2" fillId="3" borderId="99" xfId="0" applyFont="1" applyFill="1" applyBorder="1" applyAlignment="1">
      <alignment vertical="center" wrapText="1"/>
    </xf>
    <xf numFmtId="0" fontId="2" fillId="3" borderId="100" xfId="0" applyFont="1" applyFill="1" applyBorder="1" applyAlignment="1">
      <alignment vertical="center" wrapText="1"/>
    </xf>
    <xf numFmtId="0" fontId="2" fillId="3" borderId="101" xfId="0" applyFont="1" applyFill="1" applyBorder="1" applyAlignment="1">
      <alignment vertical="center" wrapText="1"/>
    </xf>
    <xf numFmtId="0" fontId="0" fillId="4" borderId="94" xfId="0" quotePrefix="1" applyFill="1" applyBorder="1" applyAlignment="1">
      <alignment vertical="center" wrapText="1"/>
    </xf>
    <xf numFmtId="0" fontId="0" fillId="4" borderId="94" xfId="0" applyFill="1" applyBorder="1" applyAlignment="1">
      <alignment vertical="center"/>
    </xf>
    <xf numFmtId="0" fontId="0" fillId="4" borderId="94" xfId="0" applyFill="1" applyBorder="1" applyAlignment="1">
      <alignment vertical="center" wrapText="1"/>
    </xf>
    <xf numFmtId="0" fontId="2" fillId="4" borderId="95" xfId="0" applyFont="1" applyFill="1" applyBorder="1" applyAlignment="1">
      <alignment horizontal="left" vertical="center" wrapText="1"/>
    </xf>
    <xf numFmtId="0" fontId="2" fillId="4" borderId="96" xfId="0" applyFont="1" applyFill="1" applyBorder="1" applyAlignment="1">
      <alignment horizontal="left" vertical="center" wrapText="1"/>
    </xf>
    <xf numFmtId="0" fontId="0" fillId="4" borderId="95" xfId="0" quotePrefix="1" applyFill="1" applyBorder="1" applyAlignment="1">
      <alignment horizontal="left" vertical="center" wrapText="1"/>
    </xf>
    <xf numFmtId="0" fontId="0" fillId="4" borderId="96" xfId="0" applyFill="1" applyBorder="1" applyAlignment="1">
      <alignment horizontal="left" vertical="center" wrapText="1"/>
    </xf>
    <xf numFmtId="0" fontId="0" fillId="4" borderId="96" xfId="0" quotePrefix="1" applyFill="1" applyBorder="1" applyAlignment="1">
      <alignment horizontal="left" vertical="center" wrapText="1"/>
    </xf>
    <xf numFmtId="0" fontId="2" fillId="3" borderId="2" xfId="0" applyFont="1" applyFill="1" applyBorder="1" applyAlignment="1">
      <alignment vertical="center"/>
    </xf>
    <xf numFmtId="0" fontId="2" fillId="3" borderId="3" xfId="0" applyFont="1" applyFill="1" applyBorder="1" applyAlignment="1">
      <alignment vertical="center"/>
    </xf>
    <xf numFmtId="0" fontId="2" fillId="3" borderId="1" xfId="0" applyFont="1" applyFill="1" applyBorder="1" applyAlignment="1">
      <alignment vertical="center"/>
    </xf>
    <xf numFmtId="41" fontId="0" fillId="0" borderId="1" xfId="1" applyFont="1" applyBorder="1" applyAlignment="1">
      <alignment vertical="center"/>
    </xf>
    <xf numFmtId="168" fontId="2" fillId="0" borderId="1" xfId="1" applyNumberFormat="1" applyFont="1" applyBorder="1" applyAlignment="1">
      <alignment vertical="center"/>
    </xf>
    <xf numFmtId="41" fontId="2" fillId="3" borderId="1" xfId="1" applyFont="1" applyFill="1" applyBorder="1" applyAlignment="1">
      <alignment horizontal="center" vertical="center" wrapText="1"/>
    </xf>
    <xf numFmtId="0" fontId="2" fillId="3" borderId="4" xfId="0" applyFont="1" applyFill="1" applyBorder="1" applyAlignment="1">
      <alignment vertical="center"/>
    </xf>
    <xf numFmtId="0" fontId="2" fillId="3" borderId="1" xfId="0" applyFont="1" applyFill="1" applyBorder="1" applyAlignment="1">
      <alignment horizontal="center" vertical="center"/>
    </xf>
    <xf numFmtId="0" fontId="2" fillId="3" borderId="1" xfId="0" applyFont="1" applyFill="1" applyBorder="1" applyAlignment="1">
      <alignment horizontal="center" vertical="center" wrapText="1"/>
    </xf>
    <xf numFmtId="0" fontId="2" fillId="0" borderId="2" xfId="0" applyFont="1" applyBorder="1" applyAlignment="1">
      <alignment horizontal="left" vertical="center"/>
    </xf>
    <xf numFmtId="0" fontId="2" fillId="0" borderId="3" xfId="0" applyFont="1" applyBorder="1" applyAlignment="1">
      <alignment horizontal="left" vertical="center"/>
    </xf>
    <xf numFmtId="0" fontId="2" fillId="3" borderId="8" xfId="0" applyFont="1" applyFill="1" applyBorder="1" applyAlignment="1">
      <alignment vertical="top"/>
    </xf>
    <xf numFmtId="0" fontId="2" fillId="3" borderId="9" xfId="0" applyFont="1" applyFill="1" applyBorder="1" applyAlignment="1">
      <alignment vertical="top"/>
    </xf>
    <xf numFmtId="0" fontId="10" fillId="9" borderId="2" xfId="0" applyFont="1" applyFill="1" applyBorder="1" applyAlignment="1">
      <alignment horizontal="left" vertical="center" wrapText="1"/>
    </xf>
    <xf numFmtId="0" fontId="10" fillId="9" borderId="3" xfId="0" applyFont="1" applyFill="1" applyBorder="1" applyAlignment="1">
      <alignment horizontal="left" vertical="center" wrapText="1"/>
    </xf>
    <xf numFmtId="0" fontId="2" fillId="3" borderId="1" xfId="0" applyFont="1" applyFill="1" applyBorder="1" applyAlignment="1">
      <alignment horizontal="left" vertical="center" wrapText="1"/>
    </xf>
    <xf numFmtId="0" fontId="10" fillId="9" borderId="2" xfId="0" quotePrefix="1" applyFont="1" applyFill="1" applyBorder="1" applyAlignment="1">
      <alignment horizontal="left" vertical="center" wrapText="1"/>
    </xf>
    <xf numFmtId="0" fontId="10" fillId="9" borderId="2" xfId="0" applyFont="1" applyFill="1" applyBorder="1" applyAlignment="1">
      <alignment vertical="center" wrapText="1"/>
    </xf>
    <xf numFmtId="0" fontId="10" fillId="9" borderId="3" xfId="0" applyFont="1" applyFill="1" applyBorder="1" applyAlignment="1">
      <alignment vertical="center" wrapText="1"/>
    </xf>
    <xf numFmtId="0" fontId="0" fillId="4" borderId="1" xfId="0" applyFill="1" applyBorder="1" applyAlignment="1">
      <alignment vertical="center" wrapText="1"/>
    </xf>
    <xf numFmtId="0" fontId="10" fillId="9" borderId="1" xfId="0" applyFont="1" applyFill="1" applyBorder="1" applyAlignment="1">
      <alignment vertical="center" wrapText="1"/>
    </xf>
    <xf numFmtId="0" fontId="10" fillId="9" borderId="1" xfId="0" applyFont="1" applyFill="1" applyBorder="1" applyAlignment="1">
      <alignment vertical="center"/>
    </xf>
    <xf numFmtId="0" fontId="10" fillId="9" borderId="1" xfId="0" quotePrefix="1" applyFont="1" applyFill="1" applyBorder="1" applyAlignment="1">
      <alignment vertical="center" wrapText="1"/>
    </xf>
    <xf numFmtId="0" fontId="0" fillId="4" borderId="1" xfId="0" applyFill="1" applyBorder="1" applyAlignment="1">
      <alignment vertical="center"/>
    </xf>
    <xf numFmtId="0" fontId="6" fillId="4" borderId="1" xfId="0" quotePrefix="1" applyFont="1" applyFill="1" applyBorder="1" applyAlignment="1">
      <alignment vertical="center" wrapText="1"/>
    </xf>
    <xf numFmtId="0" fontId="6" fillId="4" borderId="1" xfId="0" applyFont="1" applyFill="1" applyBorder="1" applyAlignment="1">
      <alignment vertical="center"/>
    </xf>
    <xf numFmtId="0" fontId="10" fillId="8" borderId="1" xfId="0" applyFont="1" applyFill="1" applyBorder="1" applyAlignment="1">
      <alignment vertical="center" wrapText="1"/>
    </xf>
    <xf numFmtId="0" fontId="0" fillId="0" borderId="97" xfId="0" applyBorder="1" applyAlignment="1">
      <alignment vertical="center"/>
    </xf>
    <xf numFmtId="0" fontId="2" fillId="3" borderId="94" xfId="0" applyFont="1" applyFill="1" applyBorder="1" applyAlignment="1">
      <alignment vertical="center"/>
    </xf>
    <xf numFmtId="0" fontId="0" fillId="0" borderId="94" xfId="0" applyBorder="1" applyAlignment="1">
      <alignment vertical="center"/>
    </xf>
    <xf numFmtId="0" fontId="0" fillId="0" borderId="94" xfId="0" applyBorder="1" applyAlignment="1">
      <alignment vertical="center" wrapText="1"/>
    </xf>
    <xf numFmtId="0" fontId="10" fillId="9" borderId="95" xfId="0" applyFont="1" applyFill="1" applyBorder="1" applyAlignment="1">
      <alignment vertical="center" wrapText="1"/>
    </xf>
    <xf numFmtId="0" fontId="10" fillId="9" borderId="97" xfId="0" applyFont="1" applyFill="1" applyBorder="1" applyAlignment="1">
      <alignment vertical="center" wrapText="1"/>
    </xf>
    <xf numFmtId="0" fontId="10" fillId="9" borderId="96" xfId="0" applyFont="1" applyFill="1" applyBorder="1" applyAlignment="1">
      <alignment vertical="center" wrapText="1"/>
    </xf>
    <xf numFmtId="0" fontId="39" fillId="4" borderId="95" xfId="0" applyFont="1" applyFill="1" applyBorder="1" applyAlignment="1">
      <alignment vertical="center" wrapText="1"/>
    </xf>
    <xf numFmtId="0" fontId="39" fillId="4" borderId="97" xfId="0" applyFont="1" applyFill="1" applyBorder="1" applyAlignment="1">
      <alignment vertical="center" wrapText="1"/>
    </xf>
    <xf numFmtId="0" fontId="39" fillId="4" borderId="96" xfId="0" applyFont="1" applyFill="1" applyBorder="1" applyAlignment="1">
      <alignment vertical="center" wrapText="1"/>
    </xf>
    <xf numFmtId="0" fontId="8" fillId="4" borderId="94" xfId="3" applyFill="1" applyBorder="1" applyAlignment="1">
      <alignment vertical="center" wrapText="1"/>
    </xf>
    <xf numFmtId="0" fontId="39" fillId="4" borderId="94" xfId="0" applyFont="1" applyFill="1" applyBorder="1" applyAlignment="1">
      <alignment vertical="center" wrapText="1"/>
    </xf>
    <xf numFmtId="0" fontId="2" fillId="0" borderId="94" xfId="0" applyFont="1" applyBorder="1" applyAlignment="1">
      <alignment vertical="center" wrapText="1"/>
    </xf>
    <xf numFmtId="0" fontId="2" fillId="0" borderId="94" xfId="0" applyFont="1" applyBorder="1" applyAlignment="1">
      <alignment vertical="center"/>
    </xf>
    <xf numFmtId="0" fontId="2" fillId="5" borderId="94" xfId="0" applyFont="1" applyFill="1" applyBorder="1" applyAlignment="1">
      <alignment vertical="center"/>
    </xf>
    <xf numFmtId="0" fontId="0" fillId="4" borderId="1" xfId="0" quotePrefix="1" applyFill="1" applyBorder="1" applyAlignment="1">
      <alignment vertical="center" wrapText="1"/>
    </xf>
    <xf numFmtId="0" fontId="10" fillId="8" borderId="1" xfId="0" quotePrefix="1" applyFont="1" applyFill="1" applyBorder="1" applyAlignment="1">
      <alignment vertical="center" wrapText="1"/>
    </xf>
    <xf numFmtId="166" fontId="39" fillId="0" borderId="1" xfId="2" applyNumberFormat="1" applyFont="1" applyBorder="1" applyAlignment="1">
      <alignment vertical="center"/>
    </xf>
    <xf numFmtId="41" fontId="6" fillId="4" borderId="1" xfId="1" applyFont="1" applyFill="1" applyBorder="1" applyAlignment="1" applyProtection="1">
      <alignment vertical="center"/>
      <protection locked="0"/>
    </xf>
  </cellXfs>
  <cellStyles count="167">
    <cellStyle name="_x000d__x000a_JournalTemplate=C:\COMFO\CTALK\JOURSTD.TPL_x000d__x000a_LbStateAddress=3 3 0 251 1 89 2 311_x000d__x000a_LbStateJou" xfId="11"/>
    <cellStyle name="Accent1 2" xfId="9"/>
    <cellStyle name="Bad 2" xfId="159"/>
    <cellStyle name="Calc Currency (0)" xfId="12"/>
    <cellStyle name="Calc Currency (2)" xfId="13"/>
    <cellStyle name="Calc Percent (0)" xfId="14"/>
    <cellStyle name="Calc Percent (1)" xfId="15"/>
    <cellStyle name="Calc Percent (2)" xfId="16"/>
    <cellStyle name="Calc Units (0)" xfId="17"/>
    <cellStyle name="Calc Units (1)" xfId="18"/>
    <cellStyle name="Calc Units (2)" xfId="19"/>
    <cellStyle name="Comma" xfId="4" builtinId="3"/>
    <cellStyle name="Comma [0]" xfId="1" builtinId="6"/>
    <cellStyle name="Comma [0] 2" xfId="133"/>
    <cellStyle name="Comma [0] 3" xfId="156"/>
    <cellStyle name="Comma [0] 4" xfId="161"/>
    <cellStyle name="Comma [0] 5" xfId="6"/>
    <cellStyle name="Comma [00]" xfId="21"/>
    <cellStyle name="Comma 10" xfId="96"/>
    <cellStyle name="Comma 11" xfId="123"/>
    <cellStyle name="Comma 12" xfId="20"/>
    <cellStyle name="Comma 13" xfId="135"/>
    <cellStyle name="Comma 14" xfId="139"/>
    <cellStyle name="Comma 15" xfId="155"/>
    <cellStyle name="Comma 16" xfId="160"/>
    <cellStyle name="Comma 2" xfId="22"/>
    <cellStyle name="Comma 3" xfId="23"/>
    <cellStyle name="Comma 4" xfId="24"/>
    <cellStyle name="Comma 5" xfId="25"/>
    <cellStyle name="Comma 6" xfId="26"/>
    <cellStyle name="Comma 7" xfId="97"/>
    <cellStyle name="Comma 7 2" xfId="130"/>
    <cellStyle name="Comma 7 2 2" xfId="148"/>
    <cellStyle name="Comma 7 3" xfId="143"/>
    <cellStyle name="Comma 8" xfId="98"/>
    <cellStyle name="Comma 9" xfId="99"/>
    <cellStyle name="Currency [0] 2" xfId="154"/>
    <cellStyle name="Currency [00]" xfId="28"/>
    <cellStyle name="Currency 10" xfId="100"/>
    <cellStyle name="Currency 11" xfId="124"/>
    <cellStyle name="Currency 12" xfId="27"/>
    <cellStyle name="Currency 13" xfId="136"/>
    <cellStyle name="Currency 14" xfId="140"/>
    <cellStyle name="Currency 15" xfId="153"/>
    <cellStyle name="Currency 2" xfId="29"/>
    <cellStyle name="Currency 3" xfId="30"/>
    <cellStyle name="Currency 4" xfId="31"/>
    <cellStyle name="Currency 5" xfId="32"/>
    <cellStyle name="Currency 6" xfId="33"/>
    <cellStyle name="Currency 7" xfId="101"/>
    <cellStyle name="Currency 8" xfId="102"/>
    <cellStyle name="Currency 9" xfId="103"/>
    <cellStyle name="Date Short" xfId="34"/>
    <cellStyle name="Enter Currency (0)" xfId="35"/>
    <cellStyle name="Enter Currency (2)" xfId="36"/>
    <cellStyle name="Enter Units (0)" xfId="37"/>
    <cellStyle name="Enter Units (1)" xfId="38"/>
    <cellStyle name="Enter Units (2)" xfId="39"/>
    <cellStyle name="Good 2" xfId="41"/>
    <cellStyle name="Good 3" xfId="104"/>
    <cellStyle name="Good 4" xfId="125"/>
    <cellStyle name="Good 5" xfId="40"/>
    <cellStyle name="Good 6" xfId="162"/>
    <cellStyle name="Good 7" xfId="8"/>
    <cellStyle name="Header 1" xfId="42"/>
    <cellStyle name="Header 2" xfId="43"/>
    <cellStyle name="Header Center" xfId="44"/>
    <cellStyle name="Header1" xfId="45"/>
    <cellStyle name="Header1 2" xfId="114"/>
    <cellStyle name="Header1 3" xfId="115"/>
    <cellStyle name="Header2" xfId="46"/>
    <cellStyle name="Heading 1 2" xfId="48"/>
    <cellStyle name="Heading 1 3" xfId="105"/>
    <cellStyle name="Heading 1 4" xfId="126"/>
    <cellStyle name="Heading 1 5" xfId="47"/>
    <cellStyle name="HP Logo" xfId="49"/>
    <cellStyle name="Hyperlink" xfId="3" builtinId="8"/>
    <cellStyle name="Hyperlink 2" xfId="141"/>
    <cellStyle name="Link Currency (0)" xfId="50"/>
    <cellStyle name="Link Currency (2)" xfId="51"/>
    <cellStyle name="Link Units (0)" xfId="52"/>
    <cellStyle name="Link Units (1)" xfId="53"/>
    <cellStyle name="Link Units (2)" xfId="54"/>
    <cellStyle name="Normal" xfId="0" builtinId="0"/>
    <cellStyle name="Normal - Style1" xfId="55"/>
    <cellStyle name="Normal 10" xfId="106"/>
    <cellStyle name="Normal 11" xfId="107"/>
    <cellStyle name="Normal 12" xfId="108"/>
    <cellStyle name="Normal 13" xfId="116"/>
    <cellStyle name="Normal 13 2" xfId="132"/>
    <cellStyle name="Normal 13 2 2" xfId="150"/>
    <cellStyle name="Normal 13 3" xfId="145"/>
    <cellStyle name="Normal 14" xfId="118"/>
    <cellStyle name="Normal 15" xfId="122"/>
    <cellStyle name="Normal 16" xfId="119"/>
    <cellStyle name="Normal 16 2" xfId="146"/>
    <cellStyle name="Normal 17" xfId="10"/>
    <cellStyle name="Normal 18" xfId="134"/>
    <cellStyle name="Normal 19" xfId="138"/>
    <cellStyle name="Normal 2" xfId="56"/>
    <cellStyle name="Normal 2 2" xfId="117"/>
    <cellStyle name="Normal 2 3" xfId="127"/>
    <cellStyle name="Normal 2 4" xfId="120"/>
    <cellStyle name="Normal 20" xfId="151"/>
    <cellStyle name="Normal 21" xfId="157"/>
    <cellStyle name="Normal 22" xfId="5"/>
    <cellStyle name="Normal 23" xfId="165"/>
    <cellStyle name="Normal 3" xfId="57"/>
    <cellStyle name="Normal 3 2" xfId="128"/>
    <cellStyle name="Normal 3 3" xfId="121"/>
    <cellStyle name="Normal 3 3 2" xfId="147"/>
    <cellStyle name="Normal 4" xfId="58"/>
    <cellStyle name="Normal 5" xfId="59"/>
    <cellStyle name="Normal 6" xfId="60"/>
    <cellStyle name="Normal 7" xfId="61"/>
    <cellStyle name="Normal 72" xfId="62"/>
    <cellStyle name="Normal 8" xfId="63"/>
    <cellStyle name="Normal 9" xfId="109"/>
    <cellStyle name="Normal 9 2" xfId="131"/>
    <cellStyle name="Normal 9 2 2" xfId="149"/>
    <cellStyle name="Normal 9 3" xfId="144"/>
    <cellStyle name="Percent" xfId="2" builtinId="5"/>
    <cellStyle name="Percent [0]" xfId="65"/>
    <cellStyle name="Percent [00]" xfId="66"/>
    <cellStyle name="Percent 10" xfId="110"/>
    <cellStyle name="Percent 11" xfId="111"/>
    <cellStyle name="Percent 12" xfId="129"/>
    <cellStyle name="Percent 13" xfId="64"/>
    <cellStyle name="Percent 14" xfId="137"/>
    <cellStyle name="Percent 15" xfId="142"/>
    <cellStyle name="Percent 16" xfId="152"/>
    <cellStyle name="Percent 17" xfId="7"/>
    <cellStyle name="Percent 18" xfId="166"/>
    <cellStyle name="Percent 2" xfId="67"/>
    <cellStyle name="Percent 2 2" xfId="68"/>
    <cellStyle name="Percent 3" xfId="69"/>
    <cellStyle name="Percent 4" xfId="70"/>
    <cellStyle name="Percent 5" xfId="71"/>
    <cellStyle name="Percent 6" xfId="72"/>
    <cellStyle name="Percent 7" xfId="73"/>
    <cellStyle name="Percent 8" xfId="112"/>
    <cellStyle name="Percent 9" xfId="113"/>
    <cellStyle name="PrePop Currency (0)" xfId="74"/>
    <cellStyle name="PrePop Currency (2)" xfId="75"/>
    <cellStyle name="PrePop Units (0)" xfId="76"/>
    <cellStyle name="PrePop Units (1)" xfId="77"/>
    <cellStyle name="PrePop Units (2)" xfId="78"/>
    <cellStyle name="Style 1" xfId="158"/>
    <cellStyle name="Table Entry" xfId="79"/>
    <cellStyle name="Table Heading" xfId="80"/>
    <cellStyle name="Table Heading Center" xfId="81"/>
    <cellStyle name="Table Medium" xfId="82"/>
    <cellStyle name="Table Normal" xfId="83"/>
    <cellStyle name="Table Small" xfId="84"/>
    <cellStyle name="Table Small Bold" xfId="85"/>
    <cellStyle name="Table Small Center" xfId="86"/>
    <cellStyle name="Table Title" xfId="87"/>
    <cellStyle name="Text Indent A" xfId="88"/>
    <cellStyle name="Text Indent B" xfId="89"/>
    <cellStyle name="Text Indent C" xfId="90"/>
    <cellStyle name="通貨 [0.00]_PERSONAL" xfId="94"/>
    <cellStyle name="通貨_PERSONAL" xfId="95"/>
    <cellStyle name="표준 3" xfId="163"/>
    <cellStyle name="표준 4" xfId="164"/>
    <cellStyle name="標準_PERSONAL" xfId="93"/>
    <cellStyle name="桁区切り [0.00]_PERSONAL" xfId="91"/>
    <cellStyle name="桁区切り_PERSONAL" xfId="92"/>
  </cellStyles>
  <dxfs count="0"/>
  <tableStyles count="0" defaultTableStyle="TableStyleMedium2" defaultPivotStyle="PivotStyleLight16"/>
  <colors>
    <mruColors>
      <color rgb="FFFFFFEB"/>
      <color rgb="FFEFF6FB"/>
      <color rgb="FFFFFFE1"/>
      <color rgb="FFFFFFD7"/>
      <color rgb="FFFFFFCC"/>
      <color rgb="FFFFFFF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13</xdr:col>
      <xdr:colOff>260744</xdr:colOff>
      <xdr:row>1</xdr:row>
      <xdr:rowOff>190081</xdr:rowOff>
    </xdr:from>
    <xdr:to>
      <xdr:col>19</xdr:col>
      <xdr:colOff>89691</xdr:colOff>
      <xdr:row>12</xdr:row>
      <xdr:rowOff>21378</xdr:rowOff>
    </xdr:to>
    <xdr:pic>
      <xdr:nvPicPr>
        <xdr:cNvPr id="2" name="Picture 1">
          <a:extLst>
            <a:ext uri="{FF2B5EF4-FFF2-40B4-BE49-F238E27FC236}">
              <a16:creationId xmlns:a16="http://schemas.microsoft.com/office/drawing/2014/main" xmlns="" id="{00000000-0008-0000-0000-000002000000}"/>
            </a:ext>
          </a:extLst>
        </xdr:cNvPr>
        <xdr:cNvPicPr>
          <a:picLocks noChangeAspect="1"/>
        </xdr:cNvPicPr>
      </xdr:nvPicPr>
      <xdr:blipFill>
        <a:blip xmlns:r="http://schemas.openxmlformats.org/officeDocument/2006/relationships" r:embed="rId1"/>
        <a:stretch>
          <a:fillRect/>
        </a:stretch>
      </xdr:blipFill>
      <xdr:spPr>
        <a:xfrm>
          <a:off x="9893694" y="336131"/>
          <a:ext cx="3583067" cy="2648157"/>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69850</xdr:colOff>
          <xdr:row>18</xdr:row>
          <xdr:rowOff>95250</xdr:rowOff>
        </xdr:from>
        <xdr:to>
          <xdr:col>0</xdr:col>
          <xdr:colOff>1365250</xdr:colOff>
          <xdr:row>19</xdr:row>
          <xdr:rowOff>146050</xdr:rowOff>
        </xdr:to>
        <xdr:sp macro="" textlink="">
          <xdr:nvSpPr>
            <xdr:cNvPr id="1027" name="Button 3" hidden="1">
              <a:extLst>
                <a:ext uri="{63B3BB69-23CF-44E3-9099-C40C66FF867C}">
                  <a14:compatExt spid="_x0000_s1027"/>
                </a:ext>
                <a:ext uri="{FF2B5EF4-FFF2-40B4-BE49-F238E27FC236}">
                  <a16:creationId xmlns:a16="http://schemas.microsoft.com/office/drawing/2014/main" xmlns=""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E3T Details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44450</xdr:colOff>
          <xdr:row>25</xdr:row>
          <xdr:rowOff>63500</xdr:rowOff>
        </xdr:from>
        <xdr:to>
          <xdr:col>1</xdr:col>
          <xdr:colOff>488950</xdr:colOff>
          <xdr:row>26</xdr:row>
          <xdr:rowOff>88900</xdr:rowOff>
        </xdr:to>
        <xdr:sp macro="" textlink="">
          <xdr:nvSpPr>
            <xdr:cNvPr id="2084" name="Button 36" hidden="1">
              <a:extLst>
                <a:ext uri="{63B3BB69-23CF-44E3-9099-C40C66FF867C}">
                  <a14:compatExt spid="_x0000_s2084"/>
                </a:ext>
                <a:ext uri="{FF2B5EF4-FFF2-40B4-BE49-F238E27FC236}">
                  <a16:creationId xmlns:a16="http://schemas.microsoft.com/office/drawing/2014/main" xmlns="" id="{00000000-0008-0000-0200-0000240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E3T DeliveryInput</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57150</xdr:rowOff>
        </xdr:from>
        <xdr:to>
          <xdr:col>1</xdr:col>
          <xdr:colOff>1466850</xdr:colOff>
          <xdr:row>1</xdr:row>
          <xdr:rowOff>95250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xmlns="" id="{00000000-0008-0000-03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check E3T Result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xdr:colOff>
          <xdr:row>1</xdr:row>
          <xdr:rowOff>196850</xdr:rowOff>
        </xdr:from>
        <xdr:to>
          <xdr:col>7</xdr:col>
          <xdr:colOff>12700</xdr:colOff>
          <xdr:row>3</xdr:row>
          <xdr:rowOff>25400</xdr:rowOff>
        </xdr:to>
        <xdr:sp macro="" textlink="">
          <xdr:nvSpPr>
            <xdr:cNvPr id="16388" name="Button 4" hidden="1">
              <a:extLst>
                <a:ext uri="{63B3BB69-23CF-44E3-9099-C40C66FF867C}">
                  <a14:compatExt spid="_x0000_s16388"/>
                </a:ext>
                <a:ext uri="{FF2B5EF4-FFF2-40B4-BE49-F238E27FC236}">
                  <a16:creationId xmlns:a16="http://schemas.microsoft.com/office/drawing/2014/main" xmlns="" id="{00000000-0008-0000-0300-000004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PM 승인 요청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127000</xdr:colOff>
          <xdr:row>3</xdr:row>
          <xdr:rowOff>76200</xdr:rowOff>
        </xdr:from>
        <xdr:to>
          <xdr:col>7</xdr:col>
          <xdr:colOff>12700</xdr:colOff>
          <xdr:row>4</xdr:row>
          <xdr:rowOff>114300</xdr:rowOff>
        </xdr:to>
        <xdr:sp macro="" textlink="">
          <xdr:nvSpPr>
            <xdr:cNvPr id="16389" name="Button 5" hidden="1">
              <a:extLst>
                <a:ext uri="{63B3BB69-23CF-44E3-9099-C40C66FF867C}">
                  <a14:compatExt spid="_x0000_s16389"/>
                </a:ext>
                <a:ext uri="{FF2B5EF4-FFF2-40B4-BE49-F238E27FC236}">
                  <a16:creationId xmlns:a16="http://schemas.microsoft.com/office/drawing/2014/main" xmlns="" id="{00000000-0008-0000-03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매니저 승인 요청</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0</xdr:row>
          <xdr:rowOff>50800</xdr:rowOff>
        </xdr:from>
        <xdr:to>
          <xdr:col>1</xdr:col>
          <xdr:colOff>1708150</xdr:colOff>
          <xdr:row>1</xdr:row>
          <xdr:rowOff>69850</xdr:rowOff>
        </xdr:to>
        <xdr:sp macro="" textlink="">
          <xdr:nvSpPr>
            <xdr:cNvPr id="32769" name="Button 1" hidden="1">
              <a:extLst>
                <a:ext uri="{63B3BB69-23CF-44E3-9099-C40C66FF867C}">
                  <a14:compatExt spid="_x0000_s32769"/>
                </a:ext>
                <a:ext uri="{FF2B5EF4-FFF2-40B4-BE49-F238E27FC236}">
                  <a16:creationId xmlns:a16="http://schemas.microsoft.com/office/drawing/2014/main" xmlns="" id="{00000000-0008-0000-0500-0000018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write_SOW</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57150</xdr:colOff>
          <xdr:row>0</xdr:row>
          <xdr:rowOff>57150</xdr:rowOff>
        </xdr:from>
        <xdr:to>
          <xdr:col>2</xdr:col>
          <xdr:colOff>1568450</xdr:colOff>
          <xdr:row>1</xdr:row>
          <xdr:rowOff>101600</xdr:rowOff>
        </xdr:to>
        <xdr:sp macro="" textlink="">
          <xdr:nvSpPr>
            <xdr:cNvPr id="11271" name="Button 7" hidden="1">
              <a:extLst>
                <a:ext uri="{63B3BB69-23CF-44E3-9099-C40C66FF867C}">
                  <a14:compatExt spid="_x0000_s11271"/>
                </a:ext>
                <a:ext uri="{FF2B5EF4-FFF2-40B4-BE49-F238E27FC236}">
                  <a16:creationId xmlns:a16="http://schemas.microsoft.com/office/drawing/2014/main" xmlns="" id="{00000000-0008-0000-0600-000007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Risk Log</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xdr:colOff>
          <xdr:row>0</xdr:row>
          <xdr:rowOff>38100</xdr:rowOff>
        </xdr:from>
        <xdr:to>
          <xdr:col>1</xdr:col>
          <xdr:colOff>1466850</xdr:colOff>
          <xdr:row>1</xdr:row>
          <xdr:rowOff>88900</xdr:rowOff>
        </xdr:to>
        <xdr:sp macro="" textlink="">
          <xdr:nvSpPr>
            <xdr:cNvPr id="22529" name="Button 1" hidden="1">
              <a:extLst>
                <a:ext uri="{63B3BB69-23CF-44E3-9099-C40C66FF867C}">
                  <a14:compatExt spid="_x0000_s22529"/>
                </a:ext>
                <a:ext uri="{FF2B5EF4-FFF2-40B4-BE49-F238E27FC236}">
                  <a16:creationId xmlns:a16="http://schemas.microsoft.com/office/drawing/2014/main" xmlns="" id="{00000000-0008-0000-07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write_DAbriefing</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38100</xdr:colOff>
          <xdr:row>0</xdr:row>
          <xdr:rowOff>44450</xdr:rowOff>
        </xdr:from>
        <xdr:to>
          <xdr:col>1</xdr:col>
          <xdr:colOff>1308100</xdr:colOff>
          <xdr:row>1</xdr:row>
          <xdr:rowOff>82550</xdr:rowOff>
        </xdr:to>
        <xdr:sp macro="" textlink="">
          <xdr:nvSpPr>
            <xdr:cNvPr id="14338" name="Button 2" hidden="1">
              <a:extLst>
                <a:ext uri="{63B3BB69-23CF-44E3-9099-C40C66FF867C}">
                  <a14:compatExt spid="_x0000_s14338"/>
                </a:ext>
                <a:ext uri="{FF2B5EF4-FFF2-40B4-BE49-F238E27FC236}">
                  <a16:creationId xmlns:a16="http://schemas.microsoft.com/office/drawing/2014/main" xmlns="" id="{00000000-0008-0000-0800-0000023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Local DO</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1428750</xdr:colOff>
          <xdr:row>0</xdr:row>
          <xdr:rowOff>69850</xdr:rowOff>
        </xdr:from>
        <xdr:to>
          <xdr:col>1</xdr:col>
          <xdr:colOff>2825750</xdr:colOff>
          <xdr:row>1</xdr:row>
          <xdr:rowOff>120650</xdr:rowOff>
        </xdr:to>
        <xdr:sp macro="" textlink="">
          <xdr:nvSpPr>
            <xdr:cNvPr id="8193" name="Button 1" hidden="1">
              <a:extLst>
                <a:ext uri="{63B3BB69-23CF-44E3-9099-C40C66FF867C}">
                  <a14:compatExt spid="_x0000_s8193"/>
                </a:ext>
                <a:ext uri="{FF2B5EF4-FFF2-40B4-BE49-F238E27FC236}">
                  <a16:creationId xmlns:a16="http://schemas.microsoft.com/office/drawing/2014/main" xmlns="" id="{00000000-0008-0000-0900-0000012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000" b="0" i="0" u="none" strike="noStrike" baseline="0">
                  <a:solidFill>
                    <a:srgbClr val="000000"/>
                  </a:solidFill>
                  <a:latin typeface="Calibri"/>
                  <a:cs typeface="Calibri"/>
                </a:rPr>
                <a:t>Write SA Opinion</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0</xdr:row>
          <xdr:rowOff>38100</xdr:rowOff>
        </xdr:from>
        <xdr:to>
          <xdr:col>1</xdr:col>
          <xdr:colOff>1822450</xdr:colOff>
          <xdr:row>1</xdr:row>
          <xdr:rowOff>101600</xdr:rowOff>
        </xdr:to>
        <xdr:sp macro="" textlink="">
          <xdr:nvSpPr>
            <xdr:cNvPr id="20488" name="Button 8" hidden="1">
              <a:extLst>
                <a:ext uri="{63B3BB69-23CF-44E3-9099-C40C66FF867C}">
                  <a14:compatExt spid="_x0000_s20488"/>
                </a:ext>
                <a:ext uri="{FF2B5EF4-FFF2-40B4-BE49-F238E27FC236}">
                  <a16:creationId xmlns:a16="http://schemas.microsoft.com/office/drawing/2014/main" xmlns="" id="{00000000-0008-0000-0A00-0000085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write_DealEngagement</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57150</xdr:colOff>
          <xdr:row>0</xdr:row>
          <xdr:rowOff>50800</xdr:rowOff>
        </xdr:from>
        <xdr:to>
          <xdr:col>1</xdr:col>
          <xdr:colOff>1543050</xdr:colOff>
          <xdr:row>1</xdr:row>
          <xdr:rowOff>101600</xdr:rowOff>
        </xdr:to>
        <xdr:sp macro="" textlink="">
          <xdr:nvSpPr>
            <xdr:cNvPr id="61448" name="Button 8" hidden="1">
              <a:extLst>
                <a:ext uri="{63B3BB69-23CF-44E3-9099-C40C66FF867C}">
                  <a14:compatExt spid="_x0000_s61448"/>
                </a:ext>
                <a:ext uri="{FF2B5EF4-FFF2-40B4-BE49-F238E27FC236}">
                  <a16:creationId xmlns:a16="http://schemas.microsoft.com/office/drawing/2014/main" xmlns="" id="{00000000-0008-0000-0C00-000008F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write_NSPForm</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31750</xdr:colOff>
          <xdr:row>0</xdr:row>
          <xdr:rowOff>50800</xdr:rowOff>
        </xdr:from>
        <xdr:to>
          <xdr:col>1</xdr:col>
          <xdr:colOff>1708150</xdr:colOff>
          <xdr:row>1</xdr:row>
          <xdr:rowOff>101600</xdr:rowOff>
        </xdr:to>
        <xdr:sp macro="" textlink="">
          <xdr:nvSpPr>
            <xdr:cNvPr id="26626" name="Button 2" hidden="1">
              <a:extLst>
                <a:ext uri="{63B3BB69-23CF-44E3-9099-C40C66FF867C}">
                  <a14:compatExt spid="_x0000_s26626"/>
                </a:ext>
                <a:ext uri="{FF2B5EF4-FFF2-40B4-BE49-F238E27FC236}">
                  <a16:creationId xmlns:a16="http://schemas.microsoft.com/office/drawing/2014/main" xmlns="" id="{00000000-0008-0000-0D00-0000026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write_Summary</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114300</xdr:colOff>
          <xdr:row>0</xdr:row>
          <xdr:rowOff>76200</xdr:rowOff>
        </xdr:from>
        <xdr:to>
          <xdr:col>1</xdr:col>
          <xdr:colOff>1955800</xdr:colOff>
          <xdr:row>1</xdr:row>
          <xdr:rowOff>82550</xdr:rowOff>
        </xdr:to>
        <xdr:sp macro="" textlink="">
          <xdr:nvSpPr>
            <xdr:cNvPr id="35841" name="Button 1" hidden="1">
              <a:extLst>
                <a:ext uri="{63B3BB69-23CF-44E3-9099-C40C66FF867C}">
                  <a14:compatExt spid="_x0000_s35841"/>
                </a:ext>
                <a:ext uri="{FF2B5EF4-FFF2-40B4-BE49-F238E27FC236}">
                  <a16:creationId xmlns:a16="http://schemas.microsoft.com/office/drawing/2014/main" xmlns="" id="{00000000-0008-0000-0E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FLGM Justification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114300</xdr:colOff>
          <xdr:row>0</xdr:row>
          <xdr:rowOff>76200</xdr:rowOff>
        </xdr:from>
        <xdr:to>
          <xdr:col>4</xdr:col>
          <xdr:colOff>469900</xdr:colOff>
          <xdr:row>1</xdr:row>
          <xdr:rowOff>82550</xdr:rowOff>
        </xdr:to>
        <xdr:sp macro="" textlink="">
          <xdr:nvSpPr>
            <xdr:cNvPr id="35844" name="Button 4" hidden="1">
              <a:extLst>
                <a:ext uri="{63B3BB69-23CF-44E3-9099-C40C66FF867C}">
                  <a14:compatExt spid="_x0000_s35844"/>
                </a:ext>
                <a:ext uri="{FF2B5EF4-FFF2-40B4-BE49-F238E27FC236}">
                  <a16:creationId xmlns:a16="http://schemas.microsoft.com/office/drawing/2014/main" xmlns="" id="{00000000-0008-0000-0E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mail for FLGM approval</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196850</xdr:colOff>
          <xdr:row>3</xdr:row>
          <xdr:rowOff>38100</xdr:rowOff>
        </xdr:from>
        <xdr:to>
          <xdr:col>4</xdr:col>
          <xdr:colOff>0</xdr:colOff>
          <xdr:row>4</xdr:row>
          <xdr:rowOff>120650</xdr:rowOff>
        </xdr:to>
        <xdr:sp macro="" textlink="">
          <xdr:nvSpPr>
            <xdr:cNvPr id="69633" name="Button 1" hidden="1">
              <a:extLst>
                <a:ext uri="{63B3BB69-23CF-44E3-9099-C40C66FF867C}">
                  <a14:compatExt spid="_x0000_s69633"/>
                </a:ext>
                <a:ext uri="{FF2B5EF4-FFF2-40B4-BE49-F238E27FC236}">
                  <a16:creationId xmlns:a16="http://schemas.microsoft.com/office/drawing/2014/main" xmlns="" id="{00000000-0008-0000-0F00-0000011001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WBS ID 생성 요청</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xdr:colOff>
          <xdr:row>0</xdr:row>
          <xdr:rowOff>69850</xdr:rowOff>
        </xdr:from>
        <xdr:to>
          <xdr:col>1</xdr:col>
          <xdr:colOff>1676400</xdr:colOff>
          <xdr:row>1</xdr:row>
          <xdr:rowOff>82550</xdr:rowOff>
        </xdr:to>
        <xdr:sp macro="" textlink="">
          <xdr:nvSpPr>
            <xdr:cNvPr id="36865" name="Button 1" hidden="1">
              <a:extLst>
                <a:ext uri="{63B3BB69-23CF-44E3-9099-C40C66FF867C}">
                  <a14:compatExt spid="_x0000_s36865"/>
                </a:ext>
                <a:ext uri="{FF2B5EF4-FFF2-40B4-BE49-F238E27FC236}">
                  <a16:creationId xmlns:a16="http://schemas.microsoft.com/office/drawing/2014/main" xmlns="" id="{00000000-0008-0000-1100-000001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Customer SOW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171450</xdr:colOff>
          <xdr:row>19</xdr:row>
          <xdr:rowOff>139700</xdr:rowOff>
        </xdr:from>
        <xdr:to>
          <xdr:col>1</xdr:col>
          <xdr:colOff>1758950</xdr:colOff>
          <xdr:row>20</xdr:row>
          <xdr:rowOff>152400</xdr:rowOff>
        </xdr:to>
        <xdr:sp macro="" textlink="">
          <xdr:nvSpPr>
            <xdr:cNvPr id="36867" name="Button 3" hidden="1">
              <a:extLst>
                <a:ext uri="{63B3BB69-23CF-44E3-9099-C40C66FF867C}">
                  <a14:compatExt spid="_x0000_s36867"/>
                </a:ext>
                <a:ext uri="{FF2B5EF4-FFF2-40B4-BE49-F238E27FC236}">
                  <a16:creationId xmlns:a16="http://schemas.microsoft.com/office/drawing/2014/main" xmlns="" id="{00000000-0008-0000-1100-000003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Customer sign-off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19</xdr:row>
          <xdr:rowOff>127000</xdr:rowOff>
        </xdr:from>
        <xdr:to>
          <xdr:col>4</xdr:col>
          <xdr:colOff>114300</xdr:colOff>
          <xdr:row>20</xdr:row>
          <xdr:rowOff>190500</xdr:rowOff>
        </xdr:to>
        <xdr:sp macro="" textlink="">
          <xdr:nvSpPr>
            <xdr:cNvPr id="36868" name="Button 4" hidden="1">
              <a:extLst>
                <a:ext uri="{63B3BB69-23CF-44E3-9099-C40C66FF867C}">
                  <a14:compatExt spid="_x0000_s36868"/>
                </a:ext>
                <a:ext uri="{FF2B5EF4-FFF2-40B4-BE49-F238E27FC236}">
                  <a16:creationId xmlns:a16="http://schemas.microsoft.com/office/drawing/2014/main" xmlns="" id="{00000000-0008-0000-1100-000004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고객 서명 요청 (영업)</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133350</xdr:colOff>
          <xdr:row>21</xdr:row>
          <xdr:rowOff>44450</xdr:rowOff>
        </xdr:from>
        <xdr:to>
          <xdr:col>4</xdr:col>
          <xdr:colOff>114300</xdr:colOff>
          <xdr:row>22</xdr:row>
          <xdr:rowOff>107950</xdr:rowOff>
        </xdr:to>
        <xdr:sp macro="" textlink="">
          <xdr:nvSpPr>
            <xdr:cNvPr id="36869" name="Button 5" hidden="1">
              <a:extLst>
                <a:ext uri="{63B3BB69-23CF-44E3-9099-C40C66FF867C}">
                  <a14:compatExt spid="_x0000_s36869"/>
                </a:ext>
                <a:ext uri="{FF2B5EF4-FFF2-40B4-BE49-F238E27FC236}">
                  <a16:creationId xmlns:a16="http://schemas.microsoft.com/office/drawing/2014/main" xmlns="" id="{00000000-0008-0000-1100-0000059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서명 완료 후 전달</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44450</xdr:colOff>
          <xdr:row>0</xdr:row>
          <xdr:rowOff>57150</xdr:rowOff>
        </xdr:from>
        <xdr:to>
          <xdr:col>1</xdr:col>
          <xdr:colOff>1619250</xdr:colOff>
          <xdr:row>1</xdr:row>
          <xdr:rowOff>95250</xdr:rowOff>
        </xdr:to>
        <xdr:sp macro="" textlink="">
          <xdr:nvSpPr>
            <xdr:cNvPr id="50177" name="Button 1" hidden="1">
              <a:extLst>
                <a:ext uri="{63B3BB69-23CF-44E3-9099-C40C66FF867C}">
                  <a14:compatExt spid="_x0000_s50177"/>
                </a:ext>
                <a:ext uri="{FF2B5EF4-FFF2-40B4-BE49-F238E27FC236}">
                  <a16:creationId xmlns:a16="http://schemas.microsoft.com/office/drawing/2014/main" xmlns="" id="{00000000-0008-0000-1200-000001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make 3P SOW</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44450</xdr:colOff>
          <xdr:row>0</xdr:row>
          <xdr:rowOff>50800</xdr:rowOff>
        </xdr:from>
        <xdr:to>
          <xdr:col>7</xdr:col>
          <xdr:colOff>1517650</xdr:colOff>
          <xdr:row>1</xdr:row>
          <xdr:rowOff>82550</xdr:rowOff>
        </xdr:to>
        <xdr:sp macro="" textlink="">
          <xdr:nvSpPr>
            <xdr:cNvPr id="50178" name="Button 2" hidden="1">
              <a:extLst>
                <a:ext uri="{63B3BB69-23CF-44E3-9099-C40C66FF867C}">
                  <a14:compatExt spid="_x0000_s50178"/>
                </a:ext>
                <a:ext uri="{FF2B5EF4-FFF2-40B4-BE49-F238E27FC236}">
                  <a16:creationId xmlns:a16="http://schemas.microsoft.com/office/drawing/2014/main" xmlns="" id="{00000000-0008-0000-1200-000002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make Vendor signoff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57150</xdr:colOff>
          <xdr:row>0</xdr:row>
          <xdr:rowOff>50800</xdr:rowOff>
        </xdr:from>
        <xdr:to>
          <xdr:col>10</xdr:col>
          <xdr:colOff>311150</xdr:colOff>
          <xdr:row>1</xdr:row>
          <xdr:rowOff>82550</xdr:rowOff>
        </xdr:to>
        <xdr:sp macro="" textlink="">
          <xdr:nvSpPr>
            <xdr:cNvPr id="50179" name="Button 3" hidden="1">
              <a:extLst>
                <a:ext uri="{63B3BB69-23CF-44E3-9099-C40C66FF867C}">
                  <a14:compatExt spid="_x0000_s50179"/>
                </a:ext>
                <a:ext uri="{FF2B5EF4-FFF2-40B4-BE49-F238E27FC236}">
                  <a16:creationId xmlns:a16="http://schemas.microsoft.com/office/drawing/2014/main" xmlns="" id="{00000000-0008-0000-1200-000003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협력업체 서명 요청</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50800</xdr:colOff>
          <xdr:row>1</xdr:row>
          <xdr:rowOff>133350</xdr:rowOff>
        </xdr:from>
        <xdr:to>
          <xdr:col>10</xdr:col>
          <xdr:colOff>304800</xdr:colOff>
          <xdr:row>2</xdr:row>
          <xdr:rowOff>165100</xdr:rowOff>
        </xdr:to>
        <xdr:sp macro="" textlink="">
          <xdr:nvSpPr>
            <xdr:cNvPr id="50180" name="Button 4" hidden="1">
              <a:extLst>
                <a:ext uri="{63B3BB69-23CF-44E3-9099-C40C66FF867C}">
                  <a14:compatExt spid="_x0000_s50180"/>
                </a:ext>
                <a:ext uri="{FF2B5EF4-FFF2-40B4-BE49-F238E27FC236}">
                  <a16:creationId xmlns:a16="http://schemas.microsoft.com/office/drawing/2014/main" xmlns="" id="{00000000-0008-0000-1200-000004C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서명 완료 후 전달</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889000</xdr:colOff>
          <xdr:row>9</xdr:row>
          <xdr:rowOff>107950</xdr:rowOff>
        </xdr:from>
        <xdr:to>
          <xdr:col>1</xdr:col>
          <xdr:colOff>2508250</xdr:colOff>
          <xdr:row>10</xdr:row>
          <xdr:rowOff>152400</xdr:rowOff>
        </xdr:to>
        <xdr:sp macro="" textlink="">
          <xdr:nvSpPr>
            <xdr:cNvPr id="59393" name="Button 1" hidden="1">
              <a:extLst>
                <a:ext uri="{63B3BB69-23CF-44E3-9099-C40C66FF867C}">
                  <a14:compatExt spid="_x0000_s59393"/>
                </a:ext>
                <a:ext uri="{FF2B5EF4-FFF2-40B4-BE49-F238E27FC236}">
                  <a16:creationId xmlns:a16="http://schemas.microsoft.com/office/drawing/2014/main" xmlns="" id="{00000000-0008-0000-1600-000001E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900" b="0" i="0" u="none" strike="noStrike" baseline="0">
                  <a:solidFill>
                    <a:srgbClr val="000000"/>
                  </a:solidFill>
                  <a:latin typeface="나눔고딕"/>
                  <a:ea typeface="나눔고딕"/>
                </a:rPr>
                <a:t>write mail for FO</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heril/OneDrive%20-%20Hewlett%20Packard%20Enterprise/Project/(04)%20(2021)%20KB&#52852;&#46300;%20ITSM%202&#52264;/SOAR/SOAR%20Info%20(KB&#52852;&#46300;%20&#51648;&#45733;&#54805;IT)_210602_v1.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heril/Documents/Project/(07)(2022)%20&#49888;&#54620;&#52852;&#46300;%20&#53364;&#46972;&#50864;&#45936;&#46972;/SOAR/E3T%20(KR3-K0312)%20Shinhan%20Card%20cloudera%20upgrade.xlsb"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3T"/>
      <sheetName val="DO"/>
      <sheetName val="SA"/>
      <sheetName val="Risk Log"/>
      <sheetName val="3P Details"/>
      <sheetName val="DA briefing"/>
      <sheetName val="Deal Engagement"/>
      <sheetName val="Gross vs Net"/>
      <sheetName val="Summary"/>
      <sheetName val="||"/>
      <sheetName val="Mail"/>
      <sheetName val="Lists"/>
      <sheetName val="comments"/>
      <sheetName val="Sheet1"/>
    </sheetNames>
    <sheetDataSet>
      <sheetData sheetId="0">
        <row r="4">
          <cell r="B4" t="str">
            <v>KB Card</v>
          </cell>
        </row>
        <row r="5">
          <cell r="B5" t="str">
            <v>ITSM 2nd Phase</v>
          </cell>
        </row>
        <row r="6">
          <cell r="B6" t="str">
            <v>KR3-K0273</v>
          </cell>
        </row>
      </sheetData>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acro Security"/>
      <sheetName val="Project Details"/>
      <sheetName val="COMPASS"/>
      <sheetName val="Rates"/>
      <sheetName val="Customize"/>
      <sheetName val="Presales Input"/>
      <sheetName val="Deliverables"/>
      <sheetName val="Delivery Input"/>
      <sheetName val="SKU_Ref"/>
      <sheetName val="CMT_Template"/>
      <sheetName val="Log"/>
      <sheetName val="P&amp;L"/>
      <sheetName val="CMS P&amp;L"/>
      <sheetName val="CMS P&amp;L FY"/>
      <sheetName val="HPV_LOB_FY"/>
      <sheetName val="HPV_GBU_FY"/>
      <sheetName val="MV_PnL_GBU"/>
      <sheetName val="Summary"/>
      <sheetName val="Month End Trending"/>
      <sheetName val="Deal Chart P&amp;L"/>
      <sheetName val="Deal Summary"/>
      <sheetName val="ICOEM Dilution"/>
      <sheetName val="Detailed Cashflow_FY"/>
      <sheetName val="Cashflow Input"/>
      <sheetName val="Cashflow Output"/>
      <sheetName val="Cashflow Output MV"/>
      <sheetName val="ACS_Template"/>
      <sheetName val="Mkt Offerings"/>
      <sheetName val="Checklist"/>
      <sheetName val="Assumptions"/>
      <sheetName val="Notes1"/>
      <sheetName val="Notes2"/>
      <sheetName val="Notes3"/>
      <sheetName val="Notes4"/>
      <sheetName val="SIT Details"/>
      <sheetName val="Staffing Detail"/>
      <sheetName val="MSP Import"/>
      <sheetName val="Custom Fields Table"/>
      <sheetName val="DCPI"/>
      <sheetName val="CMTRefData"/>
      <sheetName val="Ref Data"/>
      <sheetName val="Biz Org"/>
      <sheetName val="PV302"/>
      <sheetName val="CPMPOR"/>
      <sheetName val="CPMCO"/>
      <sheetName val="Labor_Bookings"/>
      <sheetName val="PL_Txn"/>
      <sheetName val="Reforecasting View"/>
      <sheetName val="Pricing Report"/>
      <sheetName val="TS_ES_Mgt_MV"/>
      <sheetName val="Export Config"/>
      <sheetName val="ES_Rates"/>
      <sheetName val="ES_JobCodeMast"/>
      <sheetName val="TS_Rates"/>
      <sheetName val="Labor"/>
      <sheetName val="MO_Lookup"/>
      <sheetName val="ESS_Rates"/>
      <sheetName val="ESS_JobCodeMast"/>
      <sheetName val="Rate_Cards"/>
      <sheetName val="LOB_RateCard"/>
      <sheetName val="MSR"/>
      <sheetName val="FX_Rates"/>
      <sheetName val="WBS_Def"/>
      <sheetName val="GL_Account_Def"/>
      <sheetName val="Prod_Line_Def"/>
      <sheetName val="E3T Version Info"/>
      <sheetName val="COS_Rates"/>
      <sheetName val="Country_Def"/>
      <sheetName val="CPM Mapping"/>
      <sheetName val="MO_Def"/>
      <sheetName val="SAP_Lookup"/>
      <sheetName val="OPTIMUM_GBU_LOB"/>
      <sheetName val="TS_JobCodeMast"/>
      <sheetName val="Sales_Org_Def"/>
    </sheetNames>
    <sheetDataSet>
      <sheetData sheetId="0" refreshError="1"/>
      <sheetData sheetId="1" refreshError="1"/>
      <sheetData sheetId="2" refreshError="1"/>
      <sheetData sheetId="3" refreshError="1"/>
      <sheetData sheetId="4" refreshError="1"/>
      <sheetData sheetId="5" refreshError="1"/>
      <sheetData sheetId="6">
        <row r="15">
          <cell r="AG15">
            <v>44923</v>
          </cell>
          <cell r="AH15">
            <v>45044</v>
          </cell>
        </row>
        <row r="16">
          <cell r="AG16">
            <v>44923</v>
          </cell>
          <cell r="AH16">
            <v>45044</v>
          </cell>
        </row>
        <row r="17">
          <cell r="AG17" t="str">
            <v/>
          </cell>
          <cell r="AH17" t="str">
            <v/>
          </cell>
        </row>
        <row r="18">
          <cell r="AG18" t="str">
            <v/>
          </cell>
          <cell r="AH18" t="str">
            <v/>
          </cell>
        </row>
        <row r="19">
          <cell r="AG19" t="str">
            <v/>
          </cell>
          <cell r="AH19" t="str">
            <v/>
          </cell>
        </row>
        <row r="20">
          <cell r="AG20">
            <v>44923</v>
          </cell>
          <cell r="AH20">
            <v>45044</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 sheetId="25" refreshError="1"/>
      <sheetData sheetId="26" refreshError="1"/>
      <sheetData sheetId="27" refreshError="1"/>
      <sheetData sheetId="28" refreshError="1"/>
      <sheetData sheetId="29" refreshError="1"/>
      <sheetData sheetId="30" refreshError="1"/>
      <sheetData sheetId="31" refreshError="1"/>
      <sheetData sheetId="32" refreshError="1"/>
      <sheetData sheetId="33" refreshError="1"/>
      <sheetData sheetId="34" refreshError="1"/>
      <sheetData sheetId="35" refreshError="1"/>
      <sheetData sheetId="36" refreshError="1"/>
      <sheetData sheetId="37" refreshError="1"/>
      <sheetData sheetId="38" refreshError="1"/>
      <sheetData sheetId="39" refreshError="1"/>
      <sheetData sheetId="40" refreshError="1"/>
      <sheetData sheetId="41" refreshError="1"/>
      <sheetData sheetId="42" refreshError="1"/>
      <sheetData sheetId="43" refreshError="1"/>
      <sheetData sheetId="44" refreshError="1"/>
      <sheetData sheetId="45" refreshError="1"/>
      <sheetData sheetId="46" refreshError="1"/>
      <sheetData sheetId="47" refreshError="1"/>
      <sheetData sheetId="48" refreshError="1"/>
      <sheetData sheetId="49" refreshError="1"/>
      <sheetData sheetId="50" refreshError="1"/>
      <sheetData sheetId="51" refreshError="1"/>
      <sheetData sheetId="52" refreshError="1"/>
      <sheetData sheetId="53" refreshError="1"/>
      <sheetData sheetId="54" refreshError="1"/>
      <sheetData sheetId="55" refreshError="1"/>
      <sheetData sheetId="56" refreshError="1"/>
      <sheetData sheetId="57" refreshError="1"/>
      <sheetData sheetId="58" refreshError="1"/>
      <sheetData sheetId="59" refreshError="1"/>
      <sheetData sheetId="60" refreshError="1"/>
      <sheetData sheetId="61" refreshError="1"/>
      <sheetData sheetId="62" refreshError="1"/>
      <sheetData sheetId="63" refreshError="1"/>
      <sheetData sheetId="64" refreshError="1"/>
      <sheetData sheetId="65" refreshError="1"/>
      <sheetData sheetId="66" refreshError="1"/>
      <sheetData sheetId="67" refreshError="1"/>
      <sheetData sheetId="68" refreshError="1"/>
      <sheetData sheetId="69" refreshError="1"/>
      <sheetData sheetId="70" refreshError="1"/>
      <sheetData sheetId="71" refreshError="1"/>
      <sheetData sheetId="72" refreshError="1"/>
      <sheetData sheetId="73"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6" Type="http://schemas.openxmlformats.org/officeDocument/2006/relationships/ctrlProp" Target="../ctrlProps/ctrlProp5.xml"/><Relationship Id="rId5" Type="http://schemas.openxmlformats.org/officeDocument/2006/relationships/ctrlProp" Target="../ctrlProps/ctrlProp4.xml"/><Relationship Id="rId4"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6.bin"/><Relationship Id="rId4" Type="http://schemas.openxmlformats.org/officeDocument/2006/relationships/ctrlProp" Target="../ctrlProps/ctrlProp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6.xml"/><Relationship Id="rId1" Type="http://schemas.openxmlformats.org/officeDocument/2006/relationships/printerSettings" Target="../printerSettings/printerSettings7.bin"/><Relationship Id="rId4" Type="http://schemas.openxmlformats.org/officeDocument/2006/relationships/ctrlProp" Target="../ctrlProps/ctrlProp7.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4" Type="http://schemas.openxmlformats.org/officeDocument/2006/relationships/ctrlProp" Target="../ctrlProps/ctrlProp8.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4" Type="http://schemas.openxmlformats.org/officeDocument/2006/relationships/ctrlProp" Target="../ctrlProps/ctrlProp9.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8.vml"/><Relationship Id="rId1" Type="http://schemas.openxmlformats.org/officeDocument/2006/relationships/drawing" Target="../drawings/drawing9.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4" Type="http://schemas.openxmlformats.org/officeDocument/2006/relationships/ctrlProp" Target="../ctrlProps/ctrlProp11.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4" Type="http://schemas.openxmlformats.org/officeDocument/2006/relationships/ctrlProp" Target="../ctrlProps/ctrlProp12.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4" Type="http://schemas.openxmlformats.org/officeDocument/2006/relationships/ctrlProp" Target="../ctrlProps/ctrlProp13.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ctrlProp" Target="../ctrlProps/ctrlProp15.xml"/><Relationship Id="rId4" Type="http://schemas.openxmlformats.org/officeDocument/2006/relationships/ctrlProp" Target="../ctrlProps/ctrlProp14.xml"/></Relationships>
</file>

<file path=xl/worksheets/_rels/sheet17.xml.rels><?xml version="1.0" encoding="UTF-8" standalone="yes"?>
<Relationships xmlns="http://schemas.openxmlformats.org/package/2006/relationships"><Relationship Id="rId3" Type="http://schemas.openxmlformats.org/officeDocument/2006/relationships/drawing" Target="../drawings/drawing14.xml"/><Relationship Id="rId2" Type="http://schemas.openxmlformats.org/officeDocument/2006/relationships/printerSettings" Target="../printerSettings/printerSettings14.bin"/><Relationship Id="rId1" Type="http://schemas.openxmlformats.org/officeDocument/2006/relationships/hyperlink" Target="https://hpe.sharepoint.com/teams/APJPCS/Lists/APJ%20PCS%20P" TargetMode="External"/><Relationship Id="rId5" Type="http://schemas.openxmlformats.org/officeDocument/2006/relationships/ctrlProp" Target="../ctrlProps/ctrlProp16.xml"/><Relationship Id="rId4" Type="http://schemas.openxmlformats.org/officeDocument/2006/relationships/vmlDrawing" Target="../drawings/vmlDrawing13.v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4.vml"/><Relationship Id="rId7" Type="http://schemas.openxmlformats.org/officeDocument/2006/relationships/ctrlProp" Target="../ctrlProps/ctrlProp20.xml"/><Relationship Id="rId2" Type="http://schemas.openxmlformats.org/officeDocument/2006/relationships/drawing" Target="../drawings/drawing15.xml"/><Relationship Id="rId1" Type="http://schemas.openxmlformats.org/officeDocument/2006/relationships/printerSettings" Target="../printerSettings/printerSettings15.bin"/><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20.xml.rels><?xml version="1.0" encoding="UTF-8" standalone="yes"?>
<Relationships xmlns="http://schemas.openxmlformats.org/package/2006/relationships"><Relationship Id="rId8" Type="http://schemas.openxmlformats.org/officeDocument/2006/relationships/ctrlProp" Target="../ctrlProps/ctrlProp24.xml"/><Relationship Id="rId3" Type="http://schemas.openxmlformats.org/officeDocument/2006/relationships/drawing" Target="../drawings/drawing16.xml"/><Relationship Id="rId7" Type="http://schemas.openxmlformats.org/officeDocument/2006/relationships/ctrlProp" Target="../ctrlProps/ctrlProp23.xml"/><Relationship Id="rId2" Type="http://schemas.openxmlformats.org/officeDocument/2006/relationships/printerSettings" Target="../printerSettings/printerSettings16.bin"/><Relationship Id="rId1" Type="http://schemas.openxmlformats.org/officeDocument/2006/relationships/hyperlink" Target="mailto:anna@vinylc.com" TargetMode="External"/><Relationship Id="rId6" Type="http://schemas.openxmlformats.org/officeDocument/2006/relationships/ctrlProp" Target="../ctrlProps/ctrlProp22.xml"/><Relationship Id="rId5" Type="http://schemas.openxmlformats.org/officeDocument/2006/relationships/ctrlProp" Target="../ctrlProps/ctrlProp21.xml"/><Relationship Id="rId4" Type="http://schemas.openxmlformats.org/officeDocument/2006/relationships/vmlDrawing" Target="../drawings/vmlDrawing15.v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18.bin"/><Relationship Id="rId4" Type="http://schemas.openxmlformats.org/officeDocument/2006/relationships/ctrlProp" Target="../ctrlProps/ctrlProp2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B2:P46"/>
  <sheetViews>
    <sheetView zoomScale="70" zoomScaleNormal="70" workbookViewId="0">
      <selection activeCell="Q29" sqref="Q29"/>
    </sheetView>
  </sheetViews>
  <sheetFormatPr defaultColWidth="7.90625" defaultRowHeight="11.5"/>
  <cols>
    <col min="1" max="1" width="4.08984375" style="1" customWidth="1"/>
    <col min="2" max="2" width="2.81640625" style="1" customWidth="1"/>
    <col min="3" max="3" width="30.54296875" style="1" customWidth="1"/>
    <col min="4" max="4" width="12.90625" style="1" customWidth="1"/>
    <col min="5" max="9" width="9.7265625" style="1" customWidth="1"/>
    <col min="10" max="10" width="11" style="1" customWidth="1"/>
    <col min="11" max="13" width="9.7265625" style="1" customWidth="1"/>
    <col min="14" max="15" width="7.90625" style="1"/>
    <col min="16" max="16" width="9.26953125" style="1" bestFit="1" customWidth="1"/>
    <col min="17" max="16384" width="7.90625" style="1"/>
  </cols>
  <sheetData>
    <row r="2" spans="2:13" ht="15" thickBot="1">
      <c r="D2" s="167" t="s">
        <v>727</v>
      </c>
    </row>
    <row r="3" spans="2:13" s="168" customFormat="1" ht="14.5">
      <c r="B3" s="399" t="s">
        <v>622</v>
      </c>
      <c r="C3" s="400"/>
      <c r="D3" s="169" t="s">
        <v>46</v>
      </c>
      <c r="E3" s="401" t="s">
        <v>47</v>
      </c>
      <c r="F3" s="402"/>
      <c r="G3" s="402"/>
      <c r="H3" s="402"/>
      <c r="I3" s="402"/>
      <c r="J3" s="403"/>
      <c r="K3" s="404" t="s">
        <v>48</v>
      </c>
      <c r="L3" s="405"/>
      <c r="M3" s="406"/>
    </row>
    <row r="4" spans="2:13" s="168" customFormat="1" ht="34.5" customHeight="1">
      <c r="B4" s="407" t="s">
        <v>623</v>
      </c>
      <c r="C4" s="408"/>
      <c r="D4" s="170" t="s">
        <v>624</v>
      </c>
      <c r="E4" s="409" t="s">
        <v>625</v>
      </c>
      <c r="F4" s="410"/>
      <c r="G4" s="411"/>
      <c r="H4" s="412" t="s">
        <v>626</v>
      </c>
      <c r="I4" s="413"/>
      <c r="J4" s="414"/>
      <c r="K4" s="415" t="s">
        <v>627</v>
      </c>
      <c r="L4" s="416"/>
      <c r="M4" s="417"/>
    </row>
    <row r="5" spans="2:13" s="168" customFormat="1" ht="14.5">
      <c r="B5" s="418" t="s">
        <v>1</v>
      </c>
      <c r="C5" s="419"/>
      <c r="D5" s="171"/>
      <c r="E5" s="172" t="s">
        <v>50</v>
      </c>
      <c r="F5" s="173" t="s">
        <v>628</v>
      </c>
      <c r="G5" s="174" t="s">
        <v>51</v>
      </c>
      <c r="H5" s="175" t="s">
        <v>50</v>
      </c>
      <c r="I5" s="176" t="s">
        <v>628</v>
      </c>
      <c r="J5" s="177" t="s">
        <v>51</v>
      </c>
      <c r="K5" s="178" t="s">
        <v>50</v>
      </c>
      <c r="L5" s="173" t="s">
        <v>628</v>
      </c>
      <c r="M5" s="179" t="s">
        <v>51</v>
      </c>
    </row>
    <row r="6" spans="2:13" s="168" customFormat="1" ht="14.5">
      <c r="B6" s="420" t="s">
        <v>629</v>
      </c>
      <c r="C6" s="421"/>
      <c r="D6" s="180" t="s">
        <v>630</v>
      </c>
      <c r="E6" s="181" t="s">
        <v>728</v>
      </c>
      <c r="F6" s="182" t="s">
        <v>729</v>
      </c>
      <c r="G6" s="183" t="s">
        <v>730</v>
      </c>
      <c r="H6" s="181" t="s">
        <v>728</v>
      </c>
      <c r="I6" s="182" t="s">
        <v>729</v>
      </c>
      <c r="J6" s="183" t="s">
        <v>730</v>
      </c>
      <c r="K6" s="181" t="s">
        <v>728</v>
      </c>
      <c r="L6" s="182" t="s">
        <v>729</v>
      </c>
      <c r="M6" s="183" t="s">
        <v>730</v>
      </c>
    </row>
    <row r="7" spans="2:13" s="168" customFormat="1" ht="29">
      <c r="B7" s="422" t="s">
        <v>631</v>
      </c>
      <c r="C7" s="423"/>
      <c r="D7" s="184" t="s">
        <v>223</v>
      </c>
      <c r="E7" s="185" t="s">
        <v>632</v>
      </c>
      <c r="F7" s="186" t="s">
        <v>633</v>
      </c>
      <c r="G7" s="187" t="s">
        <v>634</v>
      </c>
      <c r="H7" s="185" t="s">
        <v>632</v>
      </c>
      <c r="I7" s="186" t="s">
        <v>633</v>
      </c>
      <c r="J7" s="188" t="s">
        <v>634</v>
      </c>
      <c r="K7" s="189" t="s">
        <v>632</v>
      </c>
      <c r="L7" s="190" t="s">
        <v>635</v>
      </c>
      <c r="M7" s="177" t="s">
        <v>634</v>
      </c>
    </row>
    <row r="8" spans="2:13" ht="40.25" customHeight="1">
      <c r="B8" s="424" t="s">
        <v>636</v>
      </c>
      <c r="C8" s="425"/>
      <c r="D8" s="191" t="s">
        <v>637</v>
      </c>
      <c r="E8" s="426" t="s">
        <v>638</v>
      </c>
      <c r="F8" s="397"/>
      <c r="G8" s="397"/>
      <c r="H8" s="397"/>
      <c r="I8" s="397"/>
      <c r="J8" s="398"/>
      <c r="K8" s="397" t="s">
        <v>639</v>
      </c>
      <c r="L8" s="397"/>
      <c r="M8" s="398"/>
    </row>
    <row r="9" spans="2:13" ht="14.5">
      <c r="B9" s="192" t="s">
        <v>640</v>
      </c>
      <c r="C9" s="193"/>
      <c r="D9" s="194" t="s">
        <v>65</v>
      </c>
      <c r="E9" s="195" t="s">
        <v>641</v>
      </c>
      <c r="F9" s="196" t="s">
        <v>641</v>
      </c>
      <c r="G9" s="197" t="s">
        <v>641</v>
      </c>
      <c r="H9" s="195" t="s">
        <v>641</v>
      </c>
      <c r="I9" s="197" t="s">
        <v>641</v>
      </c>
      <c r="J9" s="198" t="s">
        <v>641</v>
      </c>
      <c r="K9" s="199" t="s">
        <v>65</v>
      </c>
      <c r="L9" s="200" t="s">
        <v>65</v>
      </c>
      <c r="M9" s="201" t="s">
        <v>65</v>
      </c>
    </row>
    <row r="10" spans="2:13" ht="14.5">
      <c r="B10" s="202"/>
      <c r="C10" s="203" t="s">
        <v>642</v>
      </c>
      <c r="D10" s="204" t="s">
        <v>65</v>
      </c>
      <c r="E10" s="384" t="s">
        <v>643</v>
      </c>
      <c r="F10" s="385"/>
      <c r="G10" s="385"/>
      <c r="H10" s="385"/>
      <c r="I10" s="385"/>
      <c r="J10" s="385"/>
      <c r="K10" s="385"/>
      <c r="L10" s="385"/>
      <c r="M10" s="386"/>
    </row>
    <row r="11" spans="2:13" ht="14.5">
      <c r="B11" s="202" t="s">
        <v>644</v>
      </c>
      <c r="C11" s="205"/>
      <c r="D11" s="206" t="s">
        <v>641</v>
      </c>
      <c r="E11" s="207" t="s">
        <v>641</v>
      </c>
      <c r="F11" s="208" t="s">
        <v>641</v>
      </c>
      <c r="G11" s="209" t="s">
        <v>641</v>
      </c>
      <c r="H11" s="207" t="s">
        <v>641</v>
      </c>
      <c r="I11" s="208" t="s">
        <v>641</v>
      </c>
      <c r="J11" s="210" t="s">
        <v>641</v>
      </c>
      <c r="K11" s="211" t="s">
        <v>641</v>
      </c>
      <c r="L11" s="208" t="s">
        <v>641</v>
      </c>
      <c r="M11" s="210" t="s">
        <v>641</v>
      </c>
    </row>
    <row r="12" spans="2:13" ht="14.5">
      <c r="B12" s="202" t="s">
        <v>645</v>
      </c>
      <c r="C12" s="205"/>
      <c r="D12" s="206" t="s">
        <v>641</v>
      </c>
      <c r="E12" s="207" t="s">
        <v>641</v>
      </c>
      <c r="F12" s="208" t="s">
        <v>641</v>
      </c>
      <c r="G12" s="209" t="s">
        <v>641</v>
      </c>
      <c r="H12" s="207" t="s">
        <v>641</v>
      </c>
      <c r="I12" s="208" t="s">
        <v>641</v>
      </c>
      <c r="J12" s="210" t="s">
        <v>641</v>
      </c>
      <c r="K12" s="211" t="s">
        <v>641</v>
      </c>
      <c r="L12" s="208" t="s">
        <v>641</v>
      </c>
      <c r="M12" s="210" t="s">
        <v>641</v>
      </c>
    </row>
    <row r="13" spans="2:13" ht="14.5">
      <c r="B13" s="202" t="s">
        <v>646</v>
      </c>
      <c r="C13" s="205"/>
      <c r="D13" s="212" t="s">
        <v>65</v>
      </c>
      <c r="E13" s="213" t="s">
        <v>65</v>
      </c>
      <c r="F13" s="214" t="s">
        <v>65</v>
      </c>
      <c r="G13" s="215" t="s">
        <v>65</v>
      </c>
      <c r="H13" s="207" t="s">
        <v>641</v>
      </c>
      <c r="I13" s="208" t="s">
        <v>641</v>
      </c>
      <c r="J13" s="210" t="s">
        <v>641</v>
      </c>
      <c r="K13" s="211" t="s">
        <v>641</v>
      </c>
      <c r="L13" s="208" t="s">
        <v>641</v>
      </c>
      <c r="M13" s="210" t="s">
        <v>641</v>
      </c>
    </row>
    <row r="14" spans="2:13" ht="14.5">
      <c r="B14" s="202" t="s">
        <v>647</v>
      </c>
      <c r="C14" s="205"/>
      <c r="D14" s="212" t="s">
        <v>65</v>
      </c>
      <c r="E14" s="213" t="s">
        <v>65</v>
      </c>
      <c r="F14" s="214" t="s">
        <v>65</v>
      </c>
      <c r="G14" s="215" t="s">
        <v>65</v>
      </c>
      <c r="H14" s="207" t="s">
        <v>641</v>
      </c>
      <c r="I14" s="208" t="s">
        <v>641</v>
      </c>
      <c r="J14" s="210" t="s">
        <v>641</v>
      </c>
      <c r="K14" s="211" t="s">
        <v>641</v>
      </c>
      <c r="L14" s="208" t="s">
        <v>641</v>
      </c>
      <c r="M14" s="210" t="s">
        <v>641</v>
      </c>
    </row>
    <row r="15" spans="2:13" ht="14.5">
      <c r="B15" s="202" t="s">
        <v>648</v>
      </c>
      <c r="C15" s="205"/>
      <c r="D15" s="212" t="s">
        <v>65</v>
      </c>
      <c r="E15" s="213" t="s">
        <v>65</v>
      </c>
      <c r="F15" s="214" t="s">
        <v>65</v>
      </c>
      <c r="G15" s="215" t="s">
        <v>65</v>
      </c>
      <c r="H15" s="207" t="s">
        <v>641</v>
      </c>
      <c r="I15" s="208" t="s">
        <v>641</v>
      </c>
      <c r="J15" s="210" t="s">
        <v>641</v>
      </c>
      <c r="K15" s="211" t="s">
        <v>641</v>
      </c>
      <c r="L15" s="208" t="s">
        <v>641</v>
      </c>
      <c r="M15" s="210" t="s">
        <v>641</v>
      </c>
    </row>
    <row r="16" spans="2:13" ht="14.5">
      <c r="B16" s="216" t="s">
        <v>649</v>
      </c>
      <c r="C16" s="217"/>
      <c r="D16" s="218" t="s">
        <v>65</v>
      </c>
      <c r="E16" s="219" t="s">
        <v>65</v>
      </c>
      <c r="F16" s="220" t="s">
        <v>65</v>
      </c>
      <c r="G16" s="221" t="s">
        <v>65</v>
      </c>
      <c r="H16" s="222" t="s">
        <v>641</v>
      </c>
      <c r="I16" s="223" t="s">
        <v>641</v>
      </c>
      <c r="J16" s="224" t="s">
        <v>641</v>
      </c>
      <c r="K16" s="225" t="s">
        <v>641</v>
      </c>
      <c r="L16" s="223" t="s">
        <v>641</v>
      </c>
      <c r="M16" s="224" t="s">
        <v>641</v>
      </c>
    </row>
    <row r="17" spans="2:16" ht="15" thickBot="1">
      <c r="B17" s="216" t="s">
        <v>650</v>
      </c>
      <c r="C17" s="217"/>
      <c r="D17" s="206" t="s">
        <v>641</v>
      </c>
      <c r="E17" s="226" t="s">
        <v>65</v>
      </c>
      <c r="F17" s="227" t="s">
        <v>65</v>
      </c>
      <c r="G17" s="228" t="s">
        <v>65</v>
      </c>
      <c r="H17" s="226" t="s">
        <v>65</v>
      </c>
      <c r="I17" s="227" t="s">
        <v>65</v>
      </c>
      <c r="J17" s="228" t="s">
        <v>65</v>
      </c>
      <c r="K17" s="226" t="s">
        <v>65</v>
      </c>
      <c r="L17" s="227" t="s">
        <v>65</v>
      </c>
      <c r="M17" s="229" t="s">
        <v>65</v>
      </c>
      <c r="P17" s="1">
        <f>75952*1.4</f>
        <v>106332.79999999999</v>
      </c>
    </row>
    <row r="18" spans="2:16" ht="14.5">
      <c r="B18" s="230" t="s">
        <v>651</v>
      </c>
      <c r="C18" s="231"/>
      <c r="D18" s="232" t="s">
        <v>65</v>
      </c>
      <c r="E18" s="233" t="s">
        <v>400</v>
      </c>
      <c r="F18" s="234" t="s">
        <v>400</v>
      </c>
      <c r="G18" s="235" t="s">
        <v>400</v>
      </c>
      <c r="H18" s="236" t="s">
        <v>641</v>
      </c>
      <c r="I18" s="237" t="s">
        <v>641</v>
      </c>
      <c r="J18" s="238" t="s">
        <v>641</v>
      </c>
      <c r="K18" s="239" t="s">
        <v>641</v>
      </c>
      <c r="L18" s="237" t="s">
        <v>641</v>
      </c>
      <c r="M18" s="238" t="s">
        <v>641</v>
      </c>
    </row>
    <row r="19" spans="2:16" ht="14.5">
      <c r="B19" s="202"/>
      <c r="C19" s="205" t="s">
        <v>652</v>
      </c>
      <c r="D19" s="212" t="s">
        <v>65</v>
      </c>
      <c r="E19" s="213" t="s">
        <v>65</v>
      </c>
      <c r="F19" s="214" t="s">
        <v>65</v>
      </c>
      <c r="G19" s="215" t="s">
        <v>65</v>
      </c>
      <c r="H19" s="207" t="s">
        <v>641</v>
      </c>
      <c r="I19" s="208" t="s">
        <v>641</v>
      </c>
      <c r="J19" s="210" t="s">
        <v>641</v>
      </c>
      <c r="K19" s="211" t="s">
        <v>641</v>
      </c>
      <c r="L19" s="208" t="s">
        <v>641</v>
      </c>
      <c r="M19" s="210" t="s">
        <v>641</v>
      </c>
    </row>
    <row r="20" spans="2:16" ht="14.5">
      <c r="B20" s="202"/>
      <c r="C20" s="205" t="s">
        <v>653</v>
      </c>
      <c r="D20" s="212" t="s">
        <v>641</v>
      </c>
      <c r="E20" s="240" t="s">
        <v>654</v>
      </c>
      <c r="F20" s="241" t="s">
        <v>654</v>
      </c>
      <c r="G20" s="242" t="s">
        <v>654</v>
      </c>
      <c r="H20" s="207" t="s">
        <v>641</v>
      </c>
      <c r="I20" s="208" t="s">
        <v>641</v>
      </c>
      <c r="J20" s="210" t="s">
        <v>641</v>
      </c>
      <c r="K20" s="211" t="s">
        <v>641</v>
      </c>
      <c r="L20" s="208" t="s">
        <v>641</v>
      </c>
      <c r="M20" s="210" t="s">
        <v>641</v>
      </c>
    </row>
    <row r="21" spans="2:16" ht="14.5">
      <c r="B21" s="202"/>
      <c r="C21" s="205" t="s">
        <v>655</v>
      </c>
      <c r="D21" s="212" t="s">
        <v>65</v>
      </c>
      <c r="E21" s="213" t="s">
        <v>65</v>
      </c>
      <c r="F21" s="214" t="s">
        <v>65</v>
      </c>
      <c r="G21" s="215" t="s">
        <v>65</v>
      </c>
      <c r="H21" s="207" t="s">
        <v>641</v>
      </c>
      <c r="I21" s="208" t="s">
        <v>641</v>
      </c>
      <c r="J21" s="210" t="s">
        <v>641</v>
      </c>
      <c r="K21" s="211" t="s">
        <v>641</v>
      </c>
      <c r="L21" s="208" t="s">
        <v>641</v>
      </c>
      <c r="M21" s="210" t="s">
        <v>641</v>
      </c>
    </row>
    <row r="22" spans="2:16" ht="15" thickBot="1">
      <c r="B22" s="243"/>
      <c r="C22" s="244" t="s">
        <v>656</v>
      </c>
      <c r="D22" s="245" t="s">
        <v>65</v>
      </c>
      <c r="E22" s="226" t="s">
        <v>65</v>
      </c>
      <c r="F22" s="227" t="s">
        <v>65</v>
      </c>
      <c r="G22" s="228" t="s">
        <v>65</v>
      </c>
      <c r="H22" s="246" t="s">
        <v>641</v>
      </c>
      <c r="I22" s="247" t="s">
        <v>641</v>
      </c>
      <c r="J22" s="248" t="s">
        <v>641</v>
      </c>
      <c r="K22" s="249" t="s">
        <v>641</v>
      </c>
      <c r="L22" s="247" t="s">
        <v>641</v>
      </c>
      <c r="M22" s="248" t="s">
        <v>641</v>
      </c>
    </row>
    <row r="23" spans="2:16" ht="14.5">
      <c r="B23" s="230" t="s">
        <v>657</v>
      </c>
      <c r="C23" s="231"/>
      <c r="D23" s="232" t="s">
        <v>65</v>
      </c>
      <c r="E23" s="233" t="s">
        <v>65</v>
      </c>
      <c r="F23" s="234" t="s">
        <v>65</v>
      </c>
      <c r="G23" s="235" t="s">
        <v>65</v>
      </c>
      <c r="H23" s="233" t="s">
        <v>65</v>
      </c>
      <c r="I23" s="234" t="s">
        <v>65</v>
      </c>
      <c r="J23" s="250" t="s">
        <v>65</v>
      </c>
      <c r="K23" s="239" t="s">
        <v>641</v>
      </c>
      <c r="L23" s="237" t="s">
        <v>641</v>
      </c>
      <c r="M23" s="238" t="s">
        <v>641</v>
      </c>
    </row>
    <row r="24" spans="2:16" ht="14.5">
      <c r="B24" s="202"/>
      <c r="C24" s="205" t="s">
        <v>360</v>
      </c>
      <c r="D24" s="212" t="s">
        <v>65</v>
      </c>
      <c r="E24" s="213" t="s">
        <v>65</v>
      </c>
      <c r="F24" s="214" t="s">
        <v>65</v>
      </c>
      <c r="G24" s="215" t="s">
        <v>65</v>
      </c>
      <c r="H24" s="213" t="s">
        <v>65</v>
      </c>
      <c r="I24" s="214" t="s">
        <v>65</v>
      </c>
      <c r="J24" s="251" t="s">
        <v>65</v>
      </c>
      <c r="K24" s="211" t="s">
        <v>641</v>
      </c>
      <c r="L24" s="208" t="s">
        <v>641</v>
      </c>
      <c r="M24" s="210" t="s">
        <v>641</v>
      </c>
    </row>
    <row r="25" spans="2:16" ht="15" thickBot="1">
      <c r="B25" s="243"/>
      <c r="C25" s="244" t="s">
        <v>658</v>
      </c>
      <c r="D25" s="245" t="s">
        <v>65</v>
      </c>
      <c r="E25" s="252" t="s">
        <v>654</v>
      </c>
      <c r="F25" s="253" t="s">
        <v>654</v>
      </c>
      <c r="G25" s="254" t="s">
        <v>654</v>
      </c>
      <c r="H25" s="226" t="s">
        <v>65</v>
      </c>
      <c r="I25" s="227" t="s">
        <v>65</v>
      </c>
      <c r="J25" s="229" t="s">
        <v>65</v>
      </c>
      <c r="K25" s="249" t="s">
        <v>641</v>
      </c>
      <c r="L25" s="247" t="s">
        <v>641</v>
      </c>
      <c r="M25" s="248" t="s">
        <v>641</v>
      </c>
    </row>
    <row r="26" spans="2:16" ht="14.5">
      <c r="B26" s="387" t="s">
        <v>659</v>
      </c>
      <c r="C26" s="388"/>
      <c r="D26" s="255" t="s">
        <v>641</v>
      </c>
      <c r="E26" s="195" t="s">
        <v>641</v>
      </c>
      <c r="F26" s="196" t="s">
        <v>641</v>
      </c>
      <c r="G26" s="197" t="s">
        <v>641</v>
      </c>
      <c r="H26" s="195" t="s">
        <v>641</v>
      </c>
      <c r="I26" s="196" t="s">
        <v>641</v>
      </c>
      <c r="J26" s="198" t="s">
        <v>641</v>
      </c>
      <c r="K26" s="256" t="s">
        <v>641</v>
      </c>
      <c r="L26" s="196" t="s">
        <v>641</v>
      </c>
      <c r="M26" s="198" t="s">
        <v>641</v>
      </c>
    </row>
    <row r="27" spans="2:16" ht="14.5">
      <c r="B27" s="389" t="s">
        <v>660</v>
      </c>
      <c r="C27" s="390"/>
      <c r="D27" s="384" t="s">
        <v>661</v>
      </c>
      <c r="E27" s="385"/>
      <c r="F27" s="385"/>
      <c r="G27" s="385"/>
      <c r="H27" s="385"/>
      <c r="I27" s="385"/>
      <c r="J27" s="386"/>
      <c r="K27" s="384" t="s">
        <v>662</v>
      </c>
      <c r="L27" s="385"/>
      <c r="M27" s="386"/>
    </row>
    <row r="28" spans="2:16" ht="15" thickBot="1">
      <c r="B28" s="243" t="s">
        <v>663</v>
      </c>
      <c r="C28" s="244"/>
      <c r="D28" s="245" t="s">
        <v>65</v>
      </c>
      <c r="E28" s="226" t="s">
        <v>65</v>
      </c>
      <c r="F28" s="227" t="s">
        <v>65</v>
      </c>
      <c r="G28" s="257" t="s">
        <v>641</v>
      </c>
      <c r="H28" s="226" t="s">
        <v>65</v>
      </c>
      <c r="I28" s="227" t="s">
        <v>65</v>
      </c>
      <c r="J28" s="248" t="s">
        <v>641</v>
      </c>
      <c r="K28" s="249" t="s">
        <v>641</v>
      </c>
      <c r="L28" s="247" t="s">
        <v>641</v>
      </c>
      <c r="M28" s="248" t="s">
        <v>641</v>
      </c>
    </row>
    <row r="31" spans="2:16" ht="12" thickBot="1"/>
    <row r="32" spans="2:16" ht="16.25" customHeight="1" thickBot="1">
      <c r="B32" s="391"/>
      <c r="C32" s="391"/>
      <c r="D32" s="392" t="s">
        <v>664</v>
      </c>
      <c r="E32" s="393"/>
      <c r="F32" s="392" t="s">
        <v>665</v>
      </c>
      <c r="G32" s="394"/>
      <c r="H32" s="395" t="s">
        <v>666</v>
      </c>
      <c r="I32" s="394"/>
      <c r="J32" s="395" t="s">
        <v>667</v>
      </c>
      <c r="K32" s="396"/>
      <c r="L32" s="258"/>
      <c r="M32" s="258"/>
    </row>
    <row r="33" spans="2:13" ht="13.75" customHeight="1">
      <c r="B33" s="360" t="s">
        <v>668</v>
      </c>
      <c r="C33" s="361"/>
      <c r="D33" s="364" t="s">
        <v>669</v>
      </c>
      <c r="E33" s="365"/>
      <c r="F33" s="366" t="s">
        <v>670</v>
      </c>
      <c r="G33" s="367"/>
      <c r="H33" s="367"/>
      <c r="I33" s="367"/>
      <c r="J33" s="367"/>
      <c r="K33" s="368"/>
    </row>
    <row r="34" spans="2:13" ht="13.75" customHeight="1" thickBot="1">
      <c r="B34" s="362"/>
      <c r="C34" s="363"/>
      <c r="D34" s="352" t="s">
        <v>671</v>
      </c>
      <c r="E34" s="353"/>
      <c r="F34" s="354" t="s">
        <v>670</v>
      </c>
      <c r="G34" s="355"/>
      <c r="H34" s="355"/>
      <c r="I34" s="355"/>
      <c r="J34" s="355"/>
      <c r="K34" s="369"/>
    </row>
    <row r="35" spans="2:13" ht="13.75" customHeight="1">
      <c r="B35" s="360" t="s">
        <v>672</v>
      </c>
      <c r="C35" s="361"/>
      <c r="D35" s="364" t="s">
        <v>673</v>
      </c>
      <c r="E35" s="365"/>
      <c r="F35" s="366" t="s">
        <v>674</v>
      </c>
      <c r="G35" s="367"/>
      <c r="H35" s="372" t="s">
        <v>675</v>
      </c>
      <c r="I35" s="372"/>
      <c r="J35" s="373"/>
      <c r="K35" s="374"/>
      <c r="L35" s="258"/>
      <c r="M35" s="258"/>
    </row>
    <row r="36" spans="2:13" ht="13.75" customHeight="1">
      <c r="B36" s="370"/>
      <c r="C36" s="371"/>
      <c r="D36" s="375" t="s">
        <v>676</v>
      </c>
      <c r="E36" s="376"/>
      <c r="F36" s="377" t="s">
        <v>677</v>
      </c>
      <c r="G36" s="378"/>
      <c r="H36" s="379" t="s">
        <v>678</v>
      </c>
      <c r="I36" s="379"/>
      <c r="J36" s="380" t="s">
        <v>679</v>
      </c>
      <c r="K36" s="381"/>
      <c r="L36" s="258"/>
      <c r="M36" s="258"/>
    </row>
    <row r="37" spans="2:13" ht="30.65" customHeight="1">
      <c r="B37" s="370"/>
      <c r="C37" s="371"/>
      <c r="D37" s="344" t="s">
        <v>680</v>
      </c>
      <c r="E37" s="345"/>
      <c r="F37" s="346" t="s">
        <v>424</v>
      </c>
      <c r="G37" s="347"/>
      <c r="H37" s="350" t="s">
        <v>675</v>
      </c>
      <c r="I37" s="350"/>
      <c r="J37" s="350"/>
      <c r="K37" s="351"/>
      <c r="L37" s="258"/>
      <c r="M37" s="258"/>
    </row>
    <row r="38" spans="2:13" ht="13.75" customHeight="1">
      <c r="B38" s="370"/>
      <c r="C38" s="371"/>
      <c r="D38" s="344" t="s">
        <v>681</v>
      </c>
      <c r="E38" s="345"/>
      <c r="F38" s="346" t="s">
        <v>424</v>
      </c>
      <c r="G38" s="347"/>
      <c r="H38" s="382"/>
      <c r="I38" s="383"/>
      <c r="J38" s="350" t="s">
        <v>675</v>
      </c>
      <c r="K38" s="351"/>
      <c r="L38" s="258"/>
      <c r="M38" s="258"/>
    </row>
    <row r="39" spans="2:13" ht="13.75" customHeight="1">
      <c r="B39" s="370"/>
      <c r="C39" s="371"/>
      <c r="D39" s="344" t="s">
        <v>682</v>
      </c>
      <c r="E39" s="345"/>
      <c r="F39" s="346" t="s">
        <v>424</v>
      </c>
      <c r="G39" s="347"/>
      <c r="H39" s="348"/>
      <c r="I39" s="349"/>
      <c r="J39" s="350" t="s">
        <v>675</v>
      </c>
      <c r="K39" s="351"/>
      <c r="L39" s="258"/>
      <c r="M39" s="258"/>
    </row>
    <row r="40" spans="2:13" ht="13.75" customHeight="1">
      <c r="B40" s="370"/>
      <c r="C40" s="371"/>
      <c r="D40" s="344" t="s">
        <v>683</v>
      </c>
      <c r="E40" s="345"/>
      <c r="F40" s="346" t="s">
        <v>424</v>
      </c>
      <c r="G40" s="347"/>
      <c r="H40" s="348"/>
      <c r="I40" s="349"/>
      <c r="J40" s="350" t="s">
        <v>675</v>
      </c>
      <c r="K40" s="351"/>
      <c r="L40" s="258"/>
      <c r="M40" s="258"/>
    </row>
    <row r="41" spans="2:13" ht="13.75" customHeight="1" thickBot="1">
      <c r="B41" s="362"/>
      <c r="C41" s="363"/>
      <c r="D41" s="352" t="s">
        <v>684</v>
      </c>
      <c r="E41" s="353"/>
      <c r="F41" s="354"/>
      <c r="G41" s="355"/>
      <c r="H41" s="356"/>
      <c r="I41" s="357"/>
      <c r="J41" s="358" t="s">
        <v>675</v>
      </c>
      <c r="K41" s="359"/>
      <c r="L41" s="258"/>
      <c r="M41" s="258"/>
    </row>
    <row r="42" spans="2:13" ht="13.75" customHeight="1">
      <c r="B42" s="335" t="s">
        <v>685</v>
      </c>
      <c r="C42" s="336"/>
      <c r="D42" s="336"/>
      <c r="E42" s="336"/>
      <c r="F42" s="336"/>
      <c r="G42" s="336"/>
      <c r="H42" s="336"/>
      <c r="I42" s="336"/>
      <c r="J42" s="336"/>
      <c r="K42" s="337"/>
    </row>
    <row r="43" spans="2:13" ht="13.75" customHeight="1">
      <c r="B43" s="338" t="s">
        <v>686</v>
      </c>
      <c r="C43" s="339"/>
      <c r="D43" s="339"/>
      <c r="E43" s="339"/>
      <c r="F43" s="339"/>
      <c r="G43" s="339"/>
      <c r="H43" s="339"/>
      <c r="I43" s="339"/>
      <c r="J43" s="339"/>
      <c r="K43" s="340"/>
    </row>
    <row r="44" spans="2:13" ht="27.65" customHeight="1">
      <c r="B44" s="338" t="s">
        <v>687</v>
      </c>
      <c r="C44" s="339"/>
      <c r="D44" s="339"/>
      <c r="E44" s="339"/>
      <c r="F44" s="339"/>
      <c r="G44" s="339"/>
      <c r="H44" s="339"/>
      <c r="I44" s="339"/>
      <c r="J44" s="339"/>
      <c r="K44" s="340"/>
    </row>
    <row r="45" spans="2:13" ht="41.4" customHeight="1">
      <c r="B45" s="338" t="s">
        <v>688</v>
      </c>
      <c r="C45" s="339"/>
      <c r="D45" s="339"/>
      <c r="E45" s="339"/>
      <c r="F45" s="339"/>
      <c r="G45" s="339"/>
      <c r="H45" s="339"/>
      <c r="I45" s="339"/>
      <c r="J45" s="339"/>
      <c r="K45" s="340"/>
    </row>
    <row r="46" spans="2:13" ht="30.65" customHeight="1" thickBot="1">
      <c r="B46" s="341" t="s">
        <v>689</v>
      </c>
      <c r="C46" s="342"/>
      <c r="D46" s="342"/>
      <c r="E46" s="342"/>
      <c r="F46" s="342"/>
      <c r="G46" s="342"/>
      <c r="H46" s="342"/>
      <c r="I46" s="342"/>
      <c r="J46" s="342"/>
      <c r="K46" s="343"/>
    </row>
  </sheetData>
  <mergeCells count="62">
    <mergeCell ref="K8:M8"/>
    <mergeCell ref="B3:C3"/>
    <mergeCell ref="E3:J3"/>
    <mergeCell ref="K3:M3"/>
    <mergeCell ref="B4:C4"/>
    <mergeCell ref="E4:G4"/>
    <mergeCell ref="H4:J4"/>
    <mergeCell ref="K4:M4"/>
    <mergeCell ref="B5:C5"/>
    <mergeCell ref="B6:C6"/>
    <mergeCell ref="B7:C7"/>
    <mergeCell ref="B8:C8"/>
    <mergeCell ref="E8:J8"/>
    <mergeCell ref="B32:C32"/>
    <mergeCell ref="D32:E32"/>
    <mergeCell ref="F32:G32"/>
    <mergeCell ref="H32:I32"/>
    <mergeCell ref="J32:K32"/>
    <mergeCell ref="E10:M10"/>
    <mergeCell ref="B26:C26"/>
    <mergeCell ref="B27:C27"/>
    <mergeCell ref="D27:J27"/>
    <mergeCell ref="K27:M27"/>
    <mergeCell ref="B35:C41"/>
    <mergeCell ref="D35:E35"/>
    <mergeCell ref="F35:G35"/>
    <mergeCell ref="H35:I35"/>
    <mergeCell ref="J35:K35"/>
    <mergeCell ref="D36:E36"/>
    <mergeCell ref="F36:G36"/>
    <mergeCell ref="H36:I36"/>
    <mergeCell ref="J36:K36"/>
    <mergeCell ref="D37:E37"/>
    <mergeCell ref="F37:G37"/>
    <mergeCell ref="H37:I37"/>
    <mergeCell ref="J37:K37"/>
    <mergeCell ref="D38:E38"/>
    <mergeCell ref="F38:G38"/>
    <mergeCell ref="H38:I38"/>
    <mergeCell ref="B33:C34"/>
    <mergeCell ref="D33:E33"/>
    <mergeCell ref="F33:K33"/>
    <mergeCell ref="D34:E34"/>
    <mergeCell ref="F34:K34"/>
    <mergeCell ref="J38:K38"/>
    <mergeCell ref="D39:E39"/>
    <mergeCell ref="F39:G39"/>
    <mergeCell ref="H39:I39"/>
    <mergeCell ref="J39:K39"/>
    <mergeCell ref="D40:E40"/>
    <mergeCell ref="F40:G40"/>
    <mergeCell ref="H40:I40"/>
    <mergeCell ref="J40:K40"/>
    <mergeCell ref="D41:E41"/>
    <mergeCell ref="F41:G41"/>
    <mergeCell ref="H41:I41"/>
    <mergeCell ref="J41:K41"/>
    <mergeCell ref="B42:K42"/>
    <mergeCell ref="B43:K43"/>
    <mergeCell ref="B44:K44"/>
    <mergeCell ref="B45:K45"/>
    <mergeCell ref="B46:K46"/>
  </mergeCells>
  <phoneticPr fontId="13" type="noConversion"/>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E33"/>
  <sheetViews>
    <sheetView zoomScale="85" zoomScaleNormal="85" workbookViewId="0">
      <selection activeCell="B11" sqref="B11"/>
    </sheetView>
  </sheetViews>
  <sheetFormatPr defaultRowHeight="16" customHeight="1"/>
  <cols>
    <col min="1" max="1" width="21.7265625" style="1" bestFit="1" customWidth="1"/>
    <col min="2" max="2" width="22.26953125" style="1" customWidth="1"/>
    <col min="3" max="3" width="4" style="1" customWidth="1"/>
    <col min="4" max="4" width="21.90625" style="1" bestFit="1" customWidth="1"/>
    <col min="5" max="5" width="42.26953125" style="1" customWidth="1"/>
    <col min="6" max="16384" width="8.7265625" style="1"/>
  </cols>
  <sheetData>
    <row r="1" spans="1:5" ht="16" customHeight="1">
      <c r="A1" s="3" t="s">
        <v>66</v>
      </c>
    </row>
    <row r="2" spans="1:5" ht="16" customHeight="1">
      <c r="A2" s="3"/>
    </row>
    <row r="3" spans="1:5" ht="16" customHeight="1">
      <c r="A3" s="2" t="s">
        <v>146</v>
      </c>
      <c r="D3" s="2" t="s">
        <v>147</v>
      </c>
    </row>
    <row r="4" spans="1:5" ht="16" customHeight="1">
      <c r="A4" s="37" t="s">
        <v>67</v>
      </c>
      <c r="B4" s="331">
        <v>44767</v>
      </c>
      <c r="D4" s="37" t="s">
        <v>68</v>
      </c>
      <c r="E4" s="45" t="s">
        <v>957</v>
      </c>
    </row>
    <row r="5" spans="1:5" ht="16" customHeight="1">
      <c r="A5" s="37" t="s">
        <v>69</v>
      </c>
      <c r="B5" s="45" t="s">
        <v>936</v>
      </c>
      <c r="D5" s="280" t="s">
        <v>735</v>
      </c>
      <c r="E5" s="281" t="s">
        <v>957</v>
      </c>
    </row>
    <row r="6" spans="1:5" ht="16" customHeight="1">
      <c r="A6" s="37" t="s">
        <v>71</v>
      </c>
      <c r="B6" s="8" t="s">
        <v>948</v>
      </c>
      <c r="D6" s="280" t="s">
        <v>736</v>
      </c>
      <c r="E6" s="281" t="s">
        <v>958</v>
      </c>
    </row>
    <row r="7" spans="1:5" ht="16" customHeight="1">
      <c r="A7" s="37" t="s">
        <v>72</v>
      </c>
      <c r="B7" s="8"/>
      <c r="D7" s="37" t="s">
        <v>70</v>
      </c>
      <c r="E7" s="285">
        <f>E3T.EGM</f>
        <v>0.33354560410312506</v>
      </c>
    </row>
    <row r="8" spans="1:5" ht="16" customHeight="1">
      <c r="A8" s="37" t="s">
        <v>74</v>
      </c>
      <c r="B8" s="120" t="s">
        <v>937</v>
      </c>
      <c r="D8" s="37" t="s">
        <v>1</v>
      </c>
      <c r="E8" s="285">
        <f>E3T.FLGM</f>
        <v>0.14984848672648221</v>
      </c>
    </row>
    <row r="9" spans="1:5" ht="16" customHeight="1">
      <c r="A9" s="37" t="s">
        <v>76</v>
      </c>
      <c r="B9" s="8" t="str">
        <f>'PCS Mail'!F2</f>
        <v>7100728495</v>
      </c>
      <c r="D9" s="37" t="s">
        <v>73</v>
      </c>
      <c r="E9" s="285">
        <f>E3T.RISK_RATE</f>
        <v>3.0000000000000002E-2</v>
      </c>
    </row>
    <row r="10" spans="1:5" ht="16" customHeight="1">
      <c r="A10" s="37" t="s">
        <v>78</v>
      </c>
      <c r="B10" s="8" t="str">
        <f>'PCS Mail'!G2</f>
        <v>NQ04373322-01</v>
      </c>
      <c r="D10" s="37" t="s">
        <v>75</v>
      </c>
      <c r="E10" s="293">
        <v>44896</v>
      </c>
    </row>
    <row r="11" spans="1:5" ht="16" customHeight="1">
      <c r="A11" s="37" t="s">
        <v>80</v>
      </c>
      <c r="B11" s="44" t="s">
        <v>93</v>
      </c>
      <c r="D11" s="37" t="s">
        <v>77</v>
      </c>
      <c r="E11" s="293">
        <v>44957</v>
      </c>
    </row>
    <row r="12" spans="1:5" ht="16" customHeight="1">
      <c r="A12" s="37" t="s">
        <v>82</v>
      </c>
      <c r="B12" s="41"/>
      <c r="D12" s="37" t="s">
        <v>79</v>
      </c>
      <c r="E12" s="44" t="s">
        <v>959</v>
      </c>
    </row>
    <row r="13" spans="1:5" ht="16" customHeight="1">
      <c r="A13" s="37" t="s">
        <v>0</v>
      </c>
      <c r="B13" s="329">
        <f>E3T.TCV</f>
        <v>64000000</v>
      </c>
      <c r="D13" s="37" t="s">
        <v>81</v>
      </c>
      <c r="E13" s="57" t="s">
        <v>620</v>
      </c>
    </row>
    <row r="14" spans="1:5" ht="16" customHeight="1">
      <c r="A14" s="37" t="s">
        <v>85</v>
      </c>
      <c r="B14" s="45" t="s">
        <v>865</v>
      </c>
      <c r="D14" s="37" t="s">
        <v>83</v>
      </c>
      <c r="E14" s="60" t="str">
        <f>VLOOKUP(DI.ProjectManager, 'Meta data'!$E$44:$G$63, 2, FALSE)</f>
        <v>010-2581-0613</v>
      </c>
    </row>
    <row r="15" spans="1:5" ht="16" customHeight="1">
      <c r="A15" s="37" t="s">
        <v>86</v>
      </c>
      <c r="B15" s="8"/>
      <c r="D15" s="37" t="s">
        <v>84</v>
      </c>
      <c r="E15" s="60" t="str">
        <f>VLOOKUP(DI.ProjectManager, 'Meta data'!$E$44:$G$63, 3, FALSE)</f>
        <v>shin-wook.park@hpe.com</v>
      </c>
    </row>
    <row r="16" spans="1:5" ht="16" customHeight="1">
      <c r="A16" s="37" t="s">
        <v>87</v>
      </c>
      <c r="B16" s="45" t="s">
        <v>945</v>
      </c>
      <c r="D16" s="37" t="s">
        <v>151</v>
      </c>
      <c r="E16" s="45" t="s">
        <v>552</v>
      </c>
    </row>
    <row r="17" spans="1:5" ht="16" customHeight="1">
      <c r="A17" s="37" t="s">
        <v>3</v>
      </c>
      <c r="B17" s="157">
        <v>1345</v>
      </c>
      <c r="D17" s="37" t="s">
        <v>152</v>
      </c>
      <c r="E17" s="45" t="s">
        <v>866</v>
      </c>
    </row>
    <row r="18" spans="1:5" ht="16" customHeight="1">
      <c r="D18" s="37" t="s">
        <v>153</v>
      </c>
      <c r="E18" s="45" t="s">
        <v>850</v>
      </c>
    </row>
    <row r="19" spans="1:5" ht="16" customHeight="1">
      <c r="D19" s="37" t="s">
        <v>154</v>
      </c>
      <c r="E19" s="45" t="s">
        <v>732</v>
      </c>
    </row>
    <row r="20" spans="1:5" ht="16" customHeight="1">
      <c r="D20" s="37" t="s">
        <v>155</v>
      </c>
      <c r="E20" s="45" t="s">
        <v>733</v>
      </c>
    </row>
    <row r="21" spans="1:5" ht="16" customHeight="1">
      <c r="A21" s="2" t="s">
        <v>148</v>
      </c>
    </row>
    <row r="22" spans="1:5" ht="16" customHeight="1">
      <c r="A22" s="37" t="s">
        <v>149</v>
      </c>
      <c r="B22" s="45">
        <v>2</v>
      </c>
    </row>
    <row r="23" spans="1:5" ht="16" customHeight="1">
      <c r="A23" s="37" t="s">
        <v>150</v>
      </c>
      <c r="B23" s="120">
        <v>2</v>
      </c>
    </row>
    <row r="24" spans="1:5" ht="16" customHeight="1">
      <c r="A24" s="37" t="s">
        <v>156</v>
      </c>
      <c r="B24" s="44" t="s">
        <v>161</v>
      </c>
    </row>
    <row r="26" spans="1:5" ht="43" customHeight="1">
      <c r="A26" s="260" t="s">
        <v>251</v>
      </c>
      <c r="B26" s="430" t="s">
        <v>867</v>
      </c>
      <c r="C26" s="431"/>
      <c r="D26" s="431"/>
      <c r="E26" s="431"/>
    </row>
    <row r="27" spans="1:5" ht="38.5" customHeight="1">
      <c r="A27" s="260" t="s">
        <v>692</v>
      </c>
      <c r="B27" s="430" t="s">
        <v>868</v>
      </c>
      <c r="C27" s="432"/>
      <c r="D27" s="432"/>
      <c r="E27" s="432"/>
    </row>
    <row r="28" spans="1:5" ht="45.5" customHeight="1">
      <c r="A28" s="279" t="s">
        <v>734</v>
      </c>
      <c r="B28" s="430" t="s">
        <v>872</v>
      </c>
      <c r="C28" s="432"/>
      <c r="D28" s="432"/>
      <c r="E28" s="432"/>
    </row>
    <row r="29" spans="1:5" ht="53.5" customHeight="1">
      <c r="A29" s="427" t="s">
        <v>801</v>
      </c>
      <c r="B29" s="433" t="s">
        <v>870</v>
      </c>
      <c r="C29" s="434"/>
      <c r="D29" s="435" t="s">
        <v>914</v>
      </c>
      <c r="E29" s="436"/>
    </row>
    <row r="30" spans="1:5" ht="66.5" customHeight="1">
      <c r="A30" s="428"/>
      <c r="B30" s="433" t="s">
        <v>913</v>
      </c>
      <c r="C30" s="434"/>
      <c r="D30" s="435" t="s">
        <v>915</v>
      </c>
      <c r="E30" s="437"/>
    </row>
    <row r="31" spans="1:5" ht="55.5" customHeight="1">
      <c r="A31" s="428"/>
      <c r="B31" s="433" t="s">
        <v>871</v>
      </c>
      <c r="C31" s="434"/>
      <c r="D31" s="435" t="s">
        <v>874</v>
      </c>
      <c r="E31" s="437"/>
    </row>
    <row r="32" spans="1:5" ht="37.5" customHeight="1">
      <c r="A32" s="428"/>
      <c r="B32" s="433" t="s">
        <v>873</v>
      </c>
      <c r="C32" s="434"/>
      <c r="D32" s="435" t="s">
        <v>912</v>
      </c>
      <c r="E32" s="437"/>
    </row>
    <row r="33" spans="1:5" ht="37.5" customHeight="1">
      <c r="A33" s="429"/>
      <c r="B33" s="433"/>
      <c r="C33" s="434"/>
      <c r="D33" s="435"/>
      <c r="E33" s="437"/>
    </row>
  </sheetData>
  <mergeCells count="14">
    <mergeCell ref="A29:A33"/>
    <mergeCell ref="B26:E26"/>
    <mergeCell ref="B27:E27"/>
    <mergeCell ref="B28:E28"/>
    <mergeCell ref="B29:C29"/>
    <mergeCell ref="D29:E29"/>
    <mergeCell ref="B30:C30"/>
    <mergeCell ref="D30:E30"/>
    <mergeCell ref="B31:C31"/>
    <mergeCell ref="D31:E31"/>
    <mergeCell ref="B32:C32"/>
    <mergeCell ref="D32:E32"/>
    <mergeCell ref="D33:E33"/>
    <mergeCell ref="B33:C33"/>
  </mergeCells>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write_E3T_Details">
                <anchor moveWithCells="1" sizeWithCells="1">
                  <from>
                    <xdr:col>0</xdr:col>
                    <xdr:colOff>69850</xdr:colOff>
                    <xdr:row>18</xdr:row>
                    <xdr:rowOff>95250</xdr:rowOff>
                  </from>
                  <to>
                    <xdr:col>0</xdr:col>
                    <xdr:colOff>1365250</xdr:colOff>
                    <xdr:row>19</xdr:row>
                    <xdr:rowOff>146050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3">
        <x14:dataValidation type="list" allowBlank="1" showInputMessage="1" showErrorMessage="1">
          <x14:formula1>
            <xm:f>'Meta data'!$E$5:$E$26</xm:f>
          </x14:formula1>
          <xm:sqref>B11</xm:sqref>
        </x14:dataValidation>
        <x14:dataValidation type="list" allowBlank="1" showInputMessage="1" showErrorMessage="1">
          <x14:formula1>
            <xm:f>'Meta data'!$I$5:$I$11</xm:f>
          </x14:formula1>
          <xm:sqref>B24</xm:sqref>
        </x14:dataValidation>
        <x14:dataValidation type="list" allowBlank="1" showInputMessage="1" showErrorMessage="1">
          <x14:formula1>
            <xm:f>'Meta data'!$E$44:$E$63</xm:f>
          </x14:formula1>
          <xm:sqref>E12</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R42"/>
  <sheetViews>
    <sheetView tabSelected="1" zoomScale="70" zoomScaleNormal="70" workbookViewId="0">
      <selection activeCell="Q9" sqref="Q9"/>
    </sheetView>
  </sheetViews>
  <sheetFormatPr defaultRowHeight="16" customHeight="1"/>
  <cols>
    <col min="1" max="1" width="16.1796875" style="1" customWidth="1"/>
    <col min="2" max="2" width="16.54296875" style="1" customWidth="1"/>
    <col min="3" max="3" width="15.54296875" style="1" customWidth="1"/>
    <col min="4" max="4" width="16.08984375" style="1" customWidth="1"/>
    <col min="5" max="5" width="15.7265625" style="1" customWidth="1"/>
    <col min="6" max="6" width="14.453125" style="4" customWidth="1"/>
    <col min="7" max="7" width="2.1796875" style="1" customWidth="1"/>
    <col min="8" max="8" width="13.08984375" style="1" customWidth="1"/>
    <col min="9" max="9" width="6.6328125" style="1" customWidth="1"/>
    <col min="10" max="10" width="8.6328125" style="4" customWidth="1"/>
    <col min="11" max="11" width="9.90625" style="1" customWidth="1"/>
    <col min="12" max="12" width="9.08984375" style="1" customWidth="1"/>
    <col min="13" max="13" width="7.08984375" style="1" customWidth="1"/>
    <col min="14" max="14" width="14" style="1" customWidth="1"/>
    <col min="15" max="15" width="2.08984375" style="1" customWidth="1"/>
    <col min="16" max="16" width="13" style="1" customWidth="1"/>
    <col min="17" max="17" width="19.81640625" style="1" customWidth="1"/>
    <col min="18" max="18" width="17.90625" style="1" customWidth="1"/>
    <col min="19" max="16384" width="8.7265625" style="1"/>
  </cols>
  <sheetData>
    <row r="1" spans="1:18" ht="7" customHeight="1"/>
    <row r="2" spans="1:18" ht="16" customHeight="1">
      <c r="A2" s="25" t="s">
        <v>6</v>
      </c>
      <c r="C2" s="33"/>
      <c r="D2" s="25" t="s">
        <v>38</v>
      </c>
      <c r="H2" s="25" t="s">
        <v>4</v>
      </c>
      <c r="K2" s="35"/>
      <c r="L2" s="35"/>
      <c r="M2" s="35"/>
      <c r="N2" s="35"/>
      <c r="P2" s="25" t="s">
        <v>5</v>
      </c>
      <c r="R2" s="35"/>
    </row>
    <row r="3" spans="1:18" ht="16" customHeight="1">
      <c r="A3" s="334" t="s">
        <v>0</v>
      </c>
      <c r="B3" s="9">
        <f>F24</f>
        <v>474757000</v>
      </c>
      <c r="C3" s="146"/>
      <c r="D3" s="440" t="s">
        <v>57</v>
      </c>
      <c r="E3" s="440"/>
      <c r="F3" s="7" t="str">
        <f>IF(AND(TCV_USD&lt;75000, FLGM&gt;=FLGM_STD), "O", " -")</f>
        <v xml:space="preserve"> -</v>
      </c>
      <c r="H3" s="14" t="s">
        <v>24</v>
      </c>
      <c r="I3" s="441">
        <f>IF(UTIL_STD="Total hours", SUM(N12:N15), SUM(N19:N23))+N25</f>
        <v>26332048</v>
      </c>
      <c r="J3" s="441"/>
      <c r="K3" s="35"/>
      <c r="L3" s="35"/>
      <c r="M3" s="35"/>
      <c r="N3" s="35"/>
      <c r="P3" s="14" t="s">
        <v>25</v>
      </c>
      <c r="Q3" s="20">
        <f>SUM(B21:B22)</f>
        <v>286000000</v>
      </c>
      <c r="R3" s="35"/>
    </row>
    <row r="4" spans="1:18" ht="16" customHeight="1">
      <c r="A4" s="334" t="s">
        <v>27</v>
      </c>
      <c r="B4" s="23">
        <f>B3/B6</f>
        <v>352979.18215613381</v>
      </c>
      <c r="C4" s="145"/>
      <c r="D4" s="440" t="s">
        <v>58</v>
      </c>
      <c r="E4" s="440"/>
      <c r="F4" s="333" t="str">
        <f>IF(AND(TCV_USD&lt;75000, FLGM&lt;FLGM_STD), "O", " -")</f>
        <v xml:space="preserve"> -</v>
      </c>
      <c r="H4" s="14" t="s">
        <v>41</v>
      </c>
      <c r="I4" s="441">
        <f>F20</f>
        <v>41514000</v>
      </c>
      <c r="J4" s="441"/>
      <c r="K4" s="35"/>
      <c r="L4" s="35"/>
      <c r="M4" s="35"/>
      <c r="N4" s="35"/>
      <c r="P4" s="14" t="s">
        <v>42</v>
      </c>
      <c r="Q4" s="20">
        <f>SUM(F21:F22)</f>
        <v>433243000</v>
      </c>
      <c r="R4" s="35"/>
    </row>
    <row r="5" spans="1:18" ht="16" customHeight="1">
      <c r="A5" s="334" t="s">
        <v>29</v>
      </c>
      <c r="B5" s="9">
        <f>B3*1.1</f>
        <v>522232700.00000006</v>
      </c>
      <c r="C5" s="33"/>
      <c r="D5" s="440" t="s">
        <v>52</v>
      </c>
      <c r="E5" s="440"/>
      <c r="F5" s="7" t="str">
        <f>IF(AND(AND(AND(TCV_USD&gt;=75000, TCV_USD&lt;500000), (HPETCV_USD+THSTCV_USD)&lt;250000), FLGM&gt;=FLGM_STD), "O", " -")</f>
        <v>O</v>
      </c>
      <c r="H5" s="14" t="s">
        <v>39</v>
      </c>
      <c r="I5" s="442">
        <f>I4/B6</f>
        <v>30865.42750929368</v>
      </c>
      <c r="J5" s="442"/>
      <c r="K5" s="35"/>
      <c r="L5" s="35"/>
      <c r="M5" s="35"/>
      <c r="N5" s="35"/>
      <c r="P5" s="14" t="s">
        <v>40</v>
      </c>
      <c r="Q5" s="24">
        <f>Q4/B6</f>
        <v>322113.75464684016</v>
      </c>
      <c r="R5" s="35"/>
    </row>
    <row r="6" spans="1:18" ht="16" customHeight="1">
      <c r="A6" s="334" t="s">
        <v>3</v>
      </c>
      <c r="B6" s="26">
        <v>1345</v>
      </c>
      <c r="C6" s="33"/>
      <c r="D6" s="438" t="s">
        <v>53</v>
      </c>
      <c r="E6" s="439"/>
      <c r="F6" s="333" t="str">
        <f>IF(AND(AND(AND(TCV_USD&gt;=75000, TCV_USD&lt;500000), (HPETCV_USD+THSTCV_USD)&lt;250000), FLGM&lt;FLGM_STD), "O", " -")</f>
        <v xml:space="preserve"> -</v>
      </c>
      <c r="H6" s="332" t="s">
        <v>967</v>
      </c>
      <c r="I6" s="442">
        <f>THSTCV_USD+HPETCV_USD</f>
        <v>248889.96282527881</v>
      </c>
      <c r="J6" s="442"/>
      <c r="K6" s="35"/>
      <c r="L6" s="35"/>
      <c r="M6" s="35"/>
      <c r="N6" s="35"/>
      <c r="O6" s="33"/>
      <c r="P6" s="33"/>
      <c r="Q6" s="33"/>
      <c r="R6" s="35"/>
    </row>
    <row r="7" spans="1:18" ht="16" customHeight="1">
      <c r="A7" s="332" t="s">
        <v>966</v>
      </c>
      <c r="B7" s="166">
        <v>0.15</v>
      </c>
      <c r="C7" s="33"/>
      <c r="D7" s="438" t="s">
        <v>54</v>
      </c>
      <c r="E7" s="439"/>
      <c r="F7" s="7" t="str">
        <f>IF(AND(AND(AND(TCV_USD&gt;=250000, TCV_USD&lt;500000), (HPETCV_USD+THSTCV_USD)&gt;=250000), FLGM&gt;=FLGM_STD), "O", " -")</f>
        <v xml:space="preserve"> -</v>
      </c>
      <c r="H7" s="6" t="s">
        <v>59</v>
      </c>
      <c r="I7" s="33"/>
      <c r="J7" s="34"/>
      <c r="K7" s="36"/>
      <c r="L7" s="33"/>
      <c r="M7" s="33"/>
      <c r="N7" s="33"/>
      <c r="P7" s="14" t="s">
        <v>62</v>
      </c>
      <c r="Q7" s="20">
        <f>SUMIF(P12:P23, "Service", R12:R23)</f>
        <v>186000000</v>
      </c>
      <c r="R7" s="33"/>
    </row>
    <row r="8" spans="1:18" ht="16" customHeight="1">
      <c r="A8" s="14" t="s">
        <v>1</v>
      </c>
      <c r="B8" s="27">
        <v>0.15</v>
      </c>
      <c r="C8" s="33"/>
      <c r="D8" s="438" t="s">
        <v>55</v>
      </c>
      <c r="E8" s="439"/>
      <c r="F8" s="333" t="str">
        <f>IF(AND(AND(AND(TCV_USD&gt;=250000, TCV_USD&lt;500000), (HPETCV_USD+THSTCV_USD)&gt;=250000), FLGM&lt;FLGM_STD), "O", " -")</f>
        <v xml:space="preserve"> -</v>
      </c>
      <c r="H8" s="32" t="s">
        <v>972</v>
      </c>
      <c r="I8" s="33"/>
      <c r="J8" s="34"/>
      <c r="K8" s="33"/>
      <c r="L8" s="71" t="s">
        <v>264</v>
      </c>
      <c r="M8" s="72">
        <f>IF(UTIL_STD = "Total hours", SUM(J12:J15), SUM(M19:M23))</f>
        <v>144</v>
      </c>
      <c r="N8" s="33"/>
      <c r="P8" s="14" t="s">
        <v>63</v>
      </c>
      <c r="Q8" s="20">
        <f>SUMIF(P12:P23, "Product", R12:R23)</f>
        <v>100000000</v>
      </c>
      <c r="R8" s="33"/>
    </row>
    <row r="9" spans="1:18" ht="16" customHeight="1">
      <c r="A9" s="19"/>
      <c r="B9" s="19"/>
      <c r="C9" s="33"/>
      <c r="D9" s="438" t="s">
        <v>56</v>
      </c>
      <c r="E9" s="439"/>
      <c r="F9" s="7" t="str">
        <f>IF(TCV_USD&gt;=500000, "O", " -")</f>
        <v xml:space="preserve"> -</v>
      </c>
      <c r="H9" s="36"/>
      <c r="I9" s="33"/>
      <c r="J9" s="34"/>
      <c r="K9" s="33"/>
      <c r="L9" s="33"/>
      <c r="M9" s="33"/>
      <c r="N9" s="33"/>
      <c r="P9" s="332" t="s">
        <v>968</v>
      </c>
      <c r="Q9" s="24">
        <f>F21/EXCHG_RATE</f>
        <v>218024.53531598512</v>
      </c>
      <c r="R9" s="33"/>
    </row>
    <row r="10" spans="1:18" ht="16" customHeight="1">
      <c r="A10" s="14" t="s">
        <v>13</v>
      </c>
      <c r="B10" s="19">
        <f>FLGM+0.184</f>
        <v>0.33399999999999996</v>
      </c>
      <c r="C10" s="33"/>
      <c r="D10" s="33"/>
      <c r="E10" s="33"/>
      <c r="F10" s="34"/>
      <c r="H10" s="5" t="s">
        <v>22</v>
      </c>
      <c r="J10" s="1"/>
      <c r="P10" s="2" t="s">
        <v>60</v>
      </c>
    </row>
    <row r="11" spans="1:18" ht="16" customHeight="1">
      <c r="A11" s="14" t="s">
        <v>28</v>
      </c>
      <c r="B11" s="482">
        <f>FLGM+0.1</f>
        <v>0.25</v>
      </c>
      <c r="C11" s="33"/>
      <c r="D11" s="34"/>
      <c r="E11" s="152"/>
      <c r="F11" s="34"/>
      <c r="H11" s="16" t="str">
        <f>IF(UTIL_STD="Total hours", "Name or Role", "-")</f>
        <v>-</v>
      </c>
      <c r="I11" s="16" t="str">
        <f>IF(UTIL_STD="Total hours", "직급", "-")</f>
        <v>-</v>
      </c>
      <c r="J11" s="16" t="str">
        <f>IF(UTIL_STD="Total hours", "실입력시간", "-")</f>
        <v>-</v>
      </c>
      <c r="K11" s="16"/>
      <c r="L11" s="16"/>
      <c r="M11" s="16"/>
      <c r="N11" s="16" t="str">
        <f>IF(UTIL_STD="Total hours", "Costs", "-")</f>
        <v>-</v>
      </c>
      <c r="P11" s="14" t="s">
        <v>10</v>
      </c>
      <c r="Q11" s="14" t="s">
        <v>11</v>
      </c>
      <c r="R11" s="14" t="s">
        <v>26</v>
      </c>
    </row>
    <row r="12" spans="1:18" ht="16" customHeight="1">
      <c r="A12" s="14" t="s">
        <v>2</v>
      </c>
      <c r="B12" s="27">
        <v>0.05</v>
      </c>
      <c r="C12" s="33"/>
      <c r="D12" s="164"/>
      <c r="E12" s="151"/>
      <c r="F12" s="34"/>
      <c r="H12" s="28"/>
      <c r="I12" s="29"/>
      <c r="J12" s="159"/>
      <c r="K12" s="17"/>
      <c r="L12" s="17"/>
      <c r="M12" s="17"/>
      <c r="N12" s="18">
        <f>Resouces!T11</f>
        <v>1410758.58</v>
      </c>
      <c r="P12" s="32" t="s">
        <v>911</v>
      </c>
      <c r="Q12" s="30" t="s">
        <v>969</v>
      </c>
      <c r="R12" s="28">
        <v>186000000</v>
      </c>
    </row>
    <row r="13" spans="1:18" ht="16" customHeight="1">
      <c r="A13" s="33"/>
      <c r="B13" s="33"/>
      <c r="C13" s="33"/>
      <c r="D13" s="34"/>
      <c r="E13" s="152"/>
      <c r="F13" s="34"/>
      <c r="H13" s="28"/>
      <c r="I13" s="29"/>
      <c r="J13" s="30"/>
      <c r="K13" s="17"/>
      <c r="L13" s="17"/>
      <c r="M13" s="17"/>
      <c r="N13" s="18" t="str">
        <f>IF(UTIL_STD="Total Hours", IFERROR(VLOOKUP(I13, UTIL_TABLE, 2, FALSE)*J13, "-"), "-")</f>
        <v>-</v>
      </c>
      <c r="P13" s="32" t="s">
        <v>970</v>
      </c>
      <c r="Q13" s="30" t="s">
        <v>971</v>
      </c>
      <c r="R13" s="483">
        <v>100000000</v>
      </c>
    </row>
    <row r="14" spans="1:18" ht="16" customHeight="1">
      <c r="A14" s="47" t="s">
        <v>166</v>
      </c>
      <c r="B14" s="48">
        <f>IFERROR(SUM(F21:F22)/F24, "-")</f>
        <v>0.91255737145529181</v>
      </c>
      <c r="C14" s="33"/>
      <c r="D14" s="151"/>
      <c r="E14" s="33"/>
      <c r="F14" s="34"/>
      <c r="H14" s="28"/>
      <c r="I14" s="29"/>
      <c r="J14" s="30"/>
      <c r="K14" s="17"/>
      <c r="L14" s="17"/>
      <c r="M14" s="17"/>
      <c r="N14" s="18" t="str">
        <f>IF(UTIL_STD="Total Hours", IFERROR(VLOOKUP(I14, UTIL_TABLE, 2, FALSE)*J14, "-"), "-")</f>
        <v>-</v>
      </c>
      <c r="P14" s="32"/>
      <c r="Q14" s="30"/>
      <c r="R14" s="28"/>
    </row>
    <row r="15" spans="1:18" ht="16" customHeight="1">
      <c r="A15" s="47" t="s">
        <v>167</v>
      </c>
      <c r="B15" s="48">
        <f>IFERROR(F22/F24, "-")</f>
        <v>0.29488770044464852</v>
      </c>
      <c r="C15" s="33"/>
      <c r="D15" s="146"/>
      <c r="E15" s="151"/>
      <c r="F15" s="34"/>
      <c r="H15" s="28"/>
      <c r="I15" s="29"/>
      <c r="J15" s="30"/>
      <c r="K15" s="17"/>
      <c r="L15" s="17"/>
      <c r="M15" s="17"/>
      <c r="N15" s="18" t="str">
        <f>IF(UTIL_STD="Total Hours", IFERROR(VLOOKUP(I15, UTIL_TABLE, 2, FALSE)*J15, "-"), "-")</f>
        <v>-</v>
      </c>
      <c r="P15" s="32"/>
      <c r="Q15" s="30"/>
      <c r="R15" s="28"/>
    </row>
    <row r="16" spans="1:18" ht="16" customHeight="1">
      <c r="A16" s="33"/>
      <c r="B16" s="33"/>
      <c r="C16" s="33"/>
      <c r="D16" s="145"/>
      <c r="E16" s="152"/>
      <c r="F16" s="34"/>
      <c r="H16" s="4"/>
      <c r="J16" s="1"/>
      <c r="P16" s="32"/>
      <c r="Q16" s="30"/>
      <c r="R16" s="28"/>
    </row>
    <row r="17" spans="1:18" ht="16" customHeight="1">
      <c r="A17" s="2" t="s">
        <v>30</v>
      </c>
      <c r="H17" s="5" t="s">
        <v>23</v>
      </c>
      <c r="J17" s="1"/>
      <c r="P17" s="32"/>
      <c r="Q17" s="30"/>
      <c r="R17" s="28"/>
    </row>
    <row r="18" spans="1:18" ht="16" customHeight="1">
      <c r="A18" s="445" t="s">
        <v>17</v>
      </c>
      <c r="B18" s="446" t="s">
        <v>31</v>
      </c>
      <c r="C18" s="445" t="s">
        <v>2</v>
      </c>
      <c r="D18" s="446" t="s">
        <v>32</v>
      </c>
      <c r="E18" s="445" t="s">
        <v>18</v>
      </c>
      <c r="F18" s="443" t="s">
        <v>6</v>
      </c>
      <c r="H18" s="16" t="str">
        <f>IF(UTIL_STD="Average %", "Name or Role", "-")</f>
        <v>Name or Role</v>
      </c>
      <c r="I18" s="16" t="str">
        <f>IF(UTIL_STD="Average %", "직급", "-")</f>
        <v>직급</v>
      </c>
      <c r="J18" s="16" t="str">
        <f>IF(UTIL_STD="Average %", "Average %", "-")</f>
        <v>Average %</v>
      </c>
      <c r="K18" s="16" t="str">
        <f>IF(UTIL_STD="Average %", "개월", "-")</f>
        <v>개월</v>
      </c>
      <c r="L18" s="16" t="str">
        <f>IF(UTIL_STD="Average %", "추천값", "-")</f>
        <v>추천값</v>
      </c>
      <c r="M18" s="16" t="str">
        <f>IF(UTIL_STD="Average %", "입력값", "-")</f>
        <v>입력값</v>
      </c>
      <c r="N18" s="16" t="str">
        <f>IF(UTIL_STD="Average %", "Costs", "-")</f>
        <v>Costs</v>
      </c>
      <c r="P18" s="32"/>
      <c r="Q18" s="30"/>
      <c r="R18" s="28"/>
    </row>
    <row r="19" spans="1:18" ht="16" customHeight="1">
      <c r="A19" s="445"/>
      <c r="B19" s="445"/>
      <c r="C19" s="445"/>
      <c r="D19" s="445"/>
      <c r="E19" s="445"/>
      <c r="F19" s="443"/>
      <c r="H19" s="30" t="s">
        <v>479</v>
      </c>
      <c r="I19" s="29" t="s">
        <v>15</v>
      </c>
      <c r="J19" s="31">
        <v>0.20399999999999999</v>
      </c>
      <c r="K19" s="30">
        <v>4</v>
      </c>
      <c r="L19" s="20">
        <f>ROUNDUP(176*K19*J19, 0)</f>
        <v>144</v>
      </c>
      <c r="M19" s="159">
        <f t="shared" ref="M19:M20" si="0">L19</f>
        <v>144</v>
      </c>
      <c r="N19" s="18">
        <f>IF(UTIL_STD="Average %", IFERROR(VLOOKUP(I19, UTIL_TABLE, 2, FALSE)*M19, "-"), "-")</f>
        <v>16332048</v>
      </c>
      <c r="P19" s="32"/>
      <c r="Q19" s="30"/>
      <c r="R19" s="28"/>
    </row>
    <row r="20" spans="1:18" ht="16" customHeight="1">
      <c r="A20" s="21" t="s">
        <v>19</v>
      </c>
      <c r="B20" s="11">
        <f>I3</f>
        <v>26332048</v>
      </c>
      <c r="C20" s="11">
        <f>B20*RISK_RATE</f>
        <v>1316602.4000000001</v>
      </c>
      <c r="D20" s="11">
        <f>SUM(B20:C20)</f>
        <v>27648650.399999999</v>
      </c>
      <c r="E20" s="11">
        <f>D20*SVC_EGM/(1-SVC_EGM)</f>
        <v>13865839.690090086</v>
      </c>
      <c r="F20" s="9">
        <f>ROUND(SUM(D20:E20), -3)</f>
        <v>41514000</v>
      </c>
      <c r="H20" s="30"/>
      <c r="I20" s="29"/>
      <c r="J20" s="31"/>
      <c r="K20" s="30"/>
      <c r="L20" s="20">
        <f>ROUNDUP(176*K20*J20, 0)</f>
        <v>0</v>
      </c>
      <c r="M20" s="159">
        <f t="shared" si="0"/>
        <v>0</v>
      </c>
      <c r="N20" s="18" t="str">
        <f>IF(UTIL_STD="Average %", IFERROR(VLOOKUP(I20, UTIL_TABLE, 2, FALSE)*M20, "-"), "-")</f>
        <v>-</v>
      </c>
      <c r="P20" s="32"/>
      <c r="Q20" s="30"/>
      <c r="R20" s="28"/>
    </row>
    <row r="21" spans="1:18" ht="16" customHeight="1">
      <c r="A21" s="21" t="s">
        <v>20</v>
      </c>
      <c r="B21" s="11">
        <f>Q7</f>
        <v>186000000</v>
      </c>
      <c r="C21" s="11">
        <f>B21*RISK_RATE</f>
        <v>9300000</v>
      </c>
      <c r="D21" s="11">
        <f>SUM(B21:C21)</f>
        <v>195300000</v>
      </c>
      <c r="E21" s="11">
        <f>D21*SVC_EGM/(1-SVC_EGM)</f>
        <v>97943243.243243232</v>
      </c>
      <c r="F21" s="9">
        <f>ROUND(SUM(D21:E21), -3)</f>
        <v>293243000</v>
      </c>
      <c r="H21" s="30"/>
      <c r="I21" s="29"/>
      <c r="J21" s="31"/>
      <c r="K21" s="30"/>
      <c r="L21" s="20">
        <f>176*K21*J21</f>
        <v>0</v>
      </c>
      <c r="M21" s="159">
        <f>L21</f>
        <v>0</v>
      </c>
      <c r="N21" s="18" t="str">
        <f>IF(UTIL_STD="Average %", IFERROR(VLOOKUP(I21, UTIL_TABLE, 2, FALSE)*M21, "-"), "-")</f>
        <v>-</v>
      </c>
      <c r="P21" s="32"/>
      <c r="Q21" s="30"/>
      <c r="R21" s="28"/>
    </row>
    <row r="22" spans="1:18" ht="16" customHeight="1">
      <c r="A22" s="21" t="s">
        <v>33</v>
      </c>
      <c r="B22" s="11">
        <f>Q8</f>
        <v>100000000</v>
      </c>
      <c r="C22" s="11">
        <f>B22*RISK_RATE</f>
        <v>5000000</v>
      </c>
      <c r="D22" s="11">
        <f>SUM(B22:C22)</f>
        <v>105000000</v>
      </c>
      <c r="E22" s="11">
        <f>D22*PDT_EGM/(1-PDT_EGM)</f>
        <v>35000000</v>
      </c>
      <c r="F22" s="9">
        <f>ROUND(SUM(D22:E22), -3)</f>
        <v>140000000</v>
      </c>
      <c r="H22" s="30"/>
      <c r="I22" s="29"/>
      <c r="J22" s="31"/>
      <c r="K22" s="30"/>
      <c r="L22" s="20">
        <f>176*K22*J22</f>
        <v>0</v>
      </c>
      <c r="M22" s="159">
        <f>L22</f>
        <v>0</v>
      </c>
      <c r="N22" s="18" t="str">
        <f>IF(UTIL_STD="Average %", IFERROR(VLOOKUP(I22, UTIL_TABLE, 2, FALSE)*M22, "-"), "-")</f>
        <v>-</v>
      </c>
      <c r="P22" s="32"/>
      <c r="Q22" s="30"/>
      <c r="R22" s="28"/>
    </row>
    <row r="23" spans="1:18" ht="16" customHeight="1">
      <c r="A23" s="22" t="s">
        <v>65</v>
      </c>
      <c r="B23" s="11"/>
      <c r="C23" s="11"/>
      <c r="D23" s="11"/>
      <c r="E23" s="11"/>
      <c r="F23" s="9"/>
      <c r="H23" s="30"/>
      <c r="I23" s="29"/>
      <c r="J23" s="31"/>
      <c r="K23" s="30"/>
      <c r="L23" s="20">
        <f>176*K23*J23</f>
        <v>0</v>
      </c>
      <c r="M23" s="159">
        <f>L23</f>
        <v>0</v>
      </c>
      <c r="N23" s="18" t="str">
        <f>IF(UTIL_STD="Average %", IFERROR(VLOOKUP(I23, UTIL_TABLE, 2, FALSE)*M23, "-"), "-")</f>
        <v>-</v>
      </c>
      <c r="P23" s="32"/>
      <c r="Q23" s="30"/>
      <c r="R23" s="28"/>
    </row>
    <row r="24" spans="1:18" ht="16" customHeight="1">
      <c r="A24" s="21" t="s">
        <v>64</v>
      </c>
      <c r="B24" s="11">
        <f>SUM(B20:B22)</f>
        <v>312332048</v>
      </c>
      <c r="C24" s="11">
        <f>SUM(C20:C22)</f>
        <v>15616602.4</v>
      </c>
      <c r="D24" s="11">
        <f>SUM(D20:D22)</f>
        <v>327948650.39999998</v>
      </c>
      <c r="E24" s="11">
        <f>SUM(E20:E22)</f>
        <v>146809082.93333334</v>
      </c>
      <c r="F24" s="9">
        <f>SUM(F20:F22)</f>
        <v>474757000</v>
      </c>
      <c r="P24" s="33"/>
      <c r="Q24" s="33"/>
      <c r="R24" s="33"/>
    </row>
    <row r="25" spans="1:18" ht="16" customHeight="1">
      <c r="A25" s="21" t="s">
        <v>168</v>
      </c>
      <c r="B25" s="46">
        <f>B24/B6</f>
        <v>232217.13605947956</v>
      </c>
      <c r="C25" s="46">
        <f>C24/B6</f>
        <v>11610.856802973978</v>
      </c>
      <c r="D25" s="46">
        <f>D24/B6</f>
        <v>243827.99286245351</v>
      </c>
      <c r="E25" s="46">
        <f>E24/B6</f>
        <v>109151.73452292441</v>
      </c>
      <c r="F25" s="23">
        <f>F24/B6</f>
        <v>352979.18215613381</v>
      </c>
      <c r="H25" s="438" t="s">
        <v>16</v>
      </c>
      <c r="I25" s="444"/>
      <c r="J25" s="444"/>
      <c r="K25" s="444"/>
      <c r="L25" s="444"/>
      <c r="M25" s="439"/>
      <c r="N25" s="26">
        <v>10000000</v>
      </c>
      <c r="P25" s="33"/>
      <c r="Q25" s="33"/>
      <c r="R25" s="34"/>
    </row>
    <row r="26" spans="1:18" ht="16" customHeight="1">
      <c r="A26" s="33"/>
      <c r="B26" s="33"/>
      <c r="C26" s="33"/>
      <c r="D26" s="33"/>
      <c r="E26" s="33"/>
      <c r="F26" s="34"/>
      <c r="G26" s="33"/>
      <c r="H26" s="33"/>
      <c r="I26" s="33"/>
      <c r="J26" s="34"/>
      <c r="K26" s="33"/>
      <c r="L26" s="33"/>
      <c r="M26" s="33"/>
      <c r="N26" s="33"/>
      <c r="P26" s="33"/>
      <c r="Q26" s="33"/>
      <c r="R26" s="34"/>
    </row>
    <row r="27" spans="1:18" ht="16" customHeight="1">
      <c r="A27" s="33"/>
      <c r="B27" s="33"/>
      <c r="C27" s="33"/>
      <c r="D27" s="33"/>
      <c r="E27" s="33"/>
      <c r="F27" s="34"/>
      <c r="G27" s="33"/>
      <c r="H27" s="34"/>
      <c r="J27" s="33"/>
      <c r="K27" s="158"/>
      <c r="L27" s="34"/>
      <c r="M27" s="33"/>
      <c r="N27" s="33"/>
      <c r="P27" s="33"/>
      <c r="Q27" s="33"/>
      <c r="R27" s="34"/>
    </row>
    <row r="28" spans="1:18" ht="16" customHeight="1">
      <c r="A28" s="33"/>
      <c r="B28" s="33"/>
      <c r="C28" s="33"/>
      <c r="D28" s="33"/>
      <c r="E28" s="33"/>
      <c r="F28" s="34"/>
      <c r="G28" s="33"/>
      <c r="H28" s="33"/>
      <c r="J28" s="33"/>
      <c r="K28" s="158"/>
      <c r="L28" s="34"/>
      <c r="M28" s="33"/>
      <c r="N28" s="33"/>
      <c r="P28" s="33"/>
      <c r="Q28" s="33"/>
      <c r="R28" s="34"/>
    </row>
    <row r="29" spans="1:18" ht="16" customHeight="1">
      <c r="A29" s="33"/>
      <c r="B29" s="33"/>
      <c r="C29" s="33"/>
      <c r="D29" s="33"/>
      <c r="E29" s="33"/>
      <c r="F29" s="34"/>
      <c r="G29" s="33"/>
      <c r="H29" s="33"/>
      <c r="J29" s="33"/>
      <c r="K29" s="158"/>
      <c r="L29" s="34"/>
      <c r="M29" s="33"/>
      <c r="N29" s="33"/>
      <c r="P29" s="33"/>
      <c r="Q29" s="33"/>
      <c r="R29" s="34"/>
    </row>
    <row r="30" spans="1:18" ht="16" customHeight="1">
      <c r="A30" s="33"/>
      <c r="B30" s="33"/>
      <c r="C30" s="33"/>
      <c r="D30" s="33"/>
      <c r="E30" s="33"/>
      <c r="F30" s="34"/>
      <c r="G30" s="33"/>
      <c r="H30" s="33"/>
      <c r="J30" s="33"/>
      <c r="K30" s="158"/>
      <c r="L30" s="34"/>
      <c r="M30" s="33"/>
      <c r="N30" s="33"/>
      <c r="P30" s="33"/>
      <c r="Q30" s="33"/>
      <c r="R30" s="34"/>
    </row>
    <row r="31" spans="1:18" ht="16" customHeight="1">
      <c r="A31" s="33"/>
      <c r="B31" s="33"/>
      <c r="C31" s="33"/>
      <c r="D31" s="33"/>
      <c r="E31" s="33"/>
      <c r="F31" s="34"/>
      <c r="J31" s="33"/>
      <c r="K31" s="158"/>
      <c r="L31" s="34"/>
    </row>
    <row r="32" spans="1:18" ht="16" customHeight="1">
      <c r="J32" s="33"/>
      <c r="K32" s="158"/>
      <c r="L32" s="34"/>
    </row>
    <row r="33" spans="8:12" ht="16" customHeight="1">
      <c r="H33" s="2"/>
      <c r="J33" s="33"/>
      <c r="L33" s="34"/>
    </row>
    <row r="34" spans="8:12" ht="16" customHeight="1">
      <c r="J34" s="33"/>
      <c r="K34" s="149"/>
      <c r="L34" s="34"/>
    </row>
    <row r="35" spans="8:12" ht="16" customHeight="1">
      <c r="H35" s="4"/>
      <c r="J35" s="33"/>
      <c r="K35" s="158"/>
      <c r="L35" s="34"/>
    </row>
    <row r="36" spans="8:12" ht="16" customHeight="1">
      <c r="J36" s="33"/>
      <c r="K36" s="158"/>
      <c r="L36" s="34"/>
    </row>
    <row r="37" spans="8:12" ht="16" customHeight="1">
      <c r="J37" s="33"/>
      <c r="K37" s="158"/>
      <c r="L37" s="34"/>
    </row>
    <row r="38" spans="8:12" ht="16" customHeight="1">
      <c r="J38" s="33"/>
      <c r="K38" s="158"/>
      <c r="L38" s="34"/>
    </row>
    <row r="39" spans="8:12" ht="16" customHeight="1">
      <c r="J39" s="33"/>
      <c r="K39" s="158"/>
      <c r="L39" s="34"/>
    </row>
    <row r="40" spans="8:12" ht="16" customHeight="1">
      <c r="J40" s="33"/>
      <c r="K40" s="158"/>
      <c r="L40" s="34"/>
    </row>
    <row r="41" spans="8:12" ht="16" customHeight="1">
      <c r="J41" s="33"/>
      <c r="L41" s="34"/>
    </row>
    <row r="42" spans="8:12" ht="16" customHeight="1">
      <c r="L42" s="150"/>
    </row>
  </sheetData>
  <dataConsolidate/>
  <mergeCells count="18">
    <mergeCell ref="F18:F19"/>
    <mergeCell ref="H25:M25"/>
    <mergeCell ref="A18:A19"/>
    <mergeCell ref="B18:B19"/>
    <mergeCell ref="C18:C19"/>
    <mergeCell ref="D18:D19"/>
    <mergeCell ref="E18:E19"/>
    <mergeCell ref="D7:E7"/>
    <mergeCell ref="D8:E8"/>
    <mergeCell ref="D9:E9"/>
    <mergeCell ref="D4:E4"/>
    <mergeCell ref="I3:J3"/>
    <mergeCell ref="I4:J4"/>
    <mergeCell ref="I5:J5"/>
    <mergeCell ref="D3:E3"/>
    <mergeCell ref="D5:E5"/>
    <mergeCell ref="D6:E6"/>
    <mergeCell ref="I6:J6"/>
  </mergeCells>
  <phoneticPr fontId="13" type="noConversion"/>
  <dataValidations count="3">
    <dataValidation type="list" allowBlank="1" showInputMessage="1" showErrorMessage="1" sqref="H8">
      <formula1>"-,Average %, Total hours"</formula1>
    </dataValidation>
    <dataValidation type="list" allowBlank="1" showInputMessage="1" showErrorMessage="1" sqref="I12:I15 I19:I23">
      <formula1>"과장,차장,부장,이사"</formula1>
    </dataValidation>
    <dataValidation type="list" allowBlank="1" showInputMessage="1" showErrorMessage="1" sqref="P12:P23">
      <formula1>"Service,Product"</formula1>
    </dataValidation>
  </dataValidations>
  <pageMargins left="0.7" right="0.7" top="0.75" bottom="0.75" header="0.3" footer="0.3"/>
  <pageSetup paperSize="9" orientation="portrait" r:id="rId1"/>
  <ignoredErrors>
    <ignoredError sqref="E21 Q8" formula="1"/>
    <ignoredError sqref="M8 M22:M23 M19:M21 B14:B15"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84" r:id="rId4" name="Button 36">
              <controlPr defaultSize="0" print="0" autoFill="0" autoPict="0" macro="[0]!write_E3T_DeliveryInput">
                <anchor moveWithCells="1" sizeWithCells="1">
                  <from>
                    <xdr:col>0</xdr:col>
                    <xdr:colOff>44450</xdr:colOff>
                    <xdr:row>25</xdr:row>
                    <xdr:rowOff>63500</xdr:rowOff>
                  </from>
                  <to>
                    <xdr:col>1</xdr:col>
                    <xdr:colOff>488950</xdr:colOff>
                    <xdr:row>26</xdr:row>
                    <xdr:rowOff>88900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T17"/>
  <sheetViews>
    <sheetView zoomScale="85" zoomScaleNormal="85" workbookViewId="0">
      <selection activeCell="S11" sqref="S11"/>
    </sheetView>
  </sheetViews>
  <sheetFormatPr defaultRowHeight="16" customHeight="1"/>
  <cols>
    <col min="1" max="1" width="12" style="1" customWidth="1"/>
    <col min="2" max="2" width="4.54296875" style="1" customWidth="1"/>
    <col min="3" max="3" width="8.1796875" style="1" customWidth="1"/>
    <col min="4" max="14" width="5.6328125" style="1" customWidth="1"/>
    <col min="15" max="16" width="5.7265625" style="1" customWidth="1"/>
    <col min="17" max="17" width="7.54296875" style="1" customWidth="1"/>
    <col min="18" max="18" width="12.81640625" style="1" customWidth="1"/>
    <col min="19" max="19" width="13.1796875" style="1" customWidth="1"/>
    <col min="20" max="20" width="17.54296875" style="1" customWidth="1"/>
    <col min="21" max="16384" width="8.7265625" style="1"/>
  </cols>
  <sheetData>
    <row r="1" spans="1:20" ht="16" customHeight="1">
      <c r="A1" s="2" t="s">
        <v>44</v>
      </c>
      <c r="B1" s="10"/>
      <c r="C1" s="10"/>
    </row>
    <row r="2" spans="1:20" ht="16" customHeight="1">
      <c r="A2" s="6" t="s">
        <v>21</v>
      </c>
      <c r="B2" s="8"/>
      <c r="C2" s="310"/>
    </row>
    <row r="3" spans="1:20" ht="16" customHeight="1">
      <c r="A3" s="21" t="s">
        <v>7</v>
      </c>
      <c r="B3" s="21" t="s">
        <v>8</v>
      </c>
      <c r="C3" s="312" t="s">
        <v>9</v>
      </c>
    </row>
    <row r="4" spans="1:20" ht="16" customHeight="1">
      <c r="A4" s="6" t="s">
        <v>34</v>
      </c>
      <c r="B4" s="6" t="s">
        <v>12</v>
      </c>
      <c r="C4" s="15">
        <v>71104</v>
      </c>
    </row>
    <row r="5" spans="1:20" ht="16" customHeight="1">
      <c r="A5" s="6" t="s">
        <v>35</v>
      </c>
      <c r="B5" s="6" t="s">
        <v>14</v>
      </c>
      <c r="C5" s="15">
        <v>97455</v>
      </c>
      <c r="R5" s="4"/>
    </row>
    <row r="6" spans="1:20" ht="16" customHeight="1">
      <c r="A6" s="6" t="s">
        <v>36</v>
      </c>
      <c r="B6" s="6" t="s">
        <v>15</v>
      </c>
      <c r="C6" s="15">
        <v>113417</v>
      </c>
    </row>
    <row r="7" spans="1:20" ht="16" customHeight="1">
      <c r="A7" s="6" t="s">
        <v>37</v>
      </c>
      <c r="B7" s="6" t="s">
        <v>61</v>
      </c>
      <c r="C7" s="15">
        <v>141213</v>
      </c>
    </row>
    <row r="8" spans="1:20" ht="16" customHeight="1">
      <c r="A8" s="447" t="s">
        <v>933</v>
      </c>
      <c r="B8" s="448"/>
      <c r="C8" s="315">
        <v>1.034</v>
      </c>
      <c r="G8" s="2" t="s">
        <v>935</v>
      </c>
    </row>
    <row r="10" spans="1:20" ht="16" customHeight="1">
      <c r="A10" s="311" t="s">
        <v>738</v>
      </c>
      <c r="B10" s="311" t="s">
        <v>926</v>
      </c>
      <c r="C10" s="311">
        <f>MONTH(DI.StartDate)</f>
        <v>12</v>
      </c>
      <c r="D10" s="311">
        <f>MONTH(EDATE(DI.StartDate, 1))</f>
        <v>1</v>
      </c>
      <c r="E10" s="311">
        <f>MONTH(EDATE(DI.StartDate, 2))</f>
        <v>2</v>
      </c>
      <c r="F10" s="311">
        <f>MONTH(EDATE(DI.StartDate, 3))</f>
        <v>3</v>
      </c>
      <c r="G10" s="311">
        <f>MONTH(EDATE(DI.StartDate, 4))</f>
        <v>4</v>
      </c>
      <c r="H10" s="311">
        <f>MONTH(EDATE(DI.StartDate, 5))</f>
        <v>5</v>
      </c>
      <c r="I10" s="311">
        <f>MONTH(EDATE(DI.StartDate, 6))</f>
        <v>6</v>
      </c>
      <c r="J10" s="311">
        <f>MONTH(EDATE(DI.StartDate, 7))</f>
        <v>7</v>
      </c>
      <c r="K10" s="311">
        <f>MONTH(EDATE(DI.StartDate, 8))</f>
        <v>8</v>
      </c>
      <c r="L10" s="311">
        <f>MONTH(EDATE(DI.StartDate, 9))</f>
        <v>9</v>
      </c>
      <c r="M10" s="311">
        <f>MONTH(EDATE(DI.StartDate, 10))</f>
        <v>10</v>
      </c>
      <c r="N10" s="311">
        <f>MONTH(EDATE(DI.StartDate, 11))</f>
        <v>11</v>
      </c>
      <c r="O10" s="311" t="s">
        <v>928</v>
      </c>
      <c r="P10" s="311" t="s">
        <v>929</v>
      </c>
      <c r="Q10" s="311" t="s">
        <v>934</v>
      </c>
      <c r="R10" s="311" t="s">
        <v>930</v>
      </c>
      <c r="S10" s="311" t="s">
        <v>931</v>
      </c>
      <c r="T10" s="311" t="s">
        <v>927</v>
      </c>
    </row>
    <row r="11" spans="1:20" ht="16" customHeight="1">
      <c r="A11" s="6" t="s">
        <v>959</v>
      </c>
      <c r="B11" s="8" t="s">
        <v>14</v>
      </c>
      <c r="C11" s="8">
        <v>7</v>
      </c>
      <c r="D11" s="8">
        <v>7</v>
      </c>
      <c r="E11" s="8"/>
      <c r="F11" s="8"/>
      <c r="G11" s="8"/>
      <c r="H11" s="8"/>
      <c r="I11" s="8"/>
      <c r="J11" s="8"/>
      <c r="K11" s="8"/>
      <c r="L11" s="8"/>
      <c r="M11" s="8"/>
      <c r="N11" s="8"/>
      <c r="O11" s="313">
        <v>0</v>
      </c>
      <c r="P11" s="313">
        <f>SUM(C11:D11)</f>
        <v>14</v>
      </c>
      <c r="Q11" s="314">
        <f>SUM(O11:P11)</f>
        <v>14</v>
      </c>
      <c r="R11" s="314">
        <f>IFERROR(VLOOKUP($B11, UTIL_TABLE, 2, FALSE)*$O11, "-")</f>
        <v>0</v>
      </c>
      <c r="S11" s="314">
        <f t="shared" ref="S11:S16" si="0">IFERROR(VLOOKUP($B11, UTIL_TABLE, 2, FALSE)*$P11*$C$8, "-")</f>
        <v>1410758.58</v>
      </c>
      <c r="T11" s="313">
        <f t="shared" ref="T11:T16" si="1">SUM(R11:S11)</f>
        <v>1410758.58</v>
      </c>
    </row>
    <row r="12" spans="1:20" ht="16" customHeight="1">
      <c r="A12" s="8"/>
      <c r="B12" s="8"/>
      <c r="C12" s="8"/>
      <c r="D12" s="8"/>
      <c r="E12" s="8"/>
      <c r="F12" s="8"/>
      <c r="G12" s="8"/>
      <c r="H12" s="8"/>
      <c r="I12" s="8"/>
      <c r="J12" s="8"/>
      <c r="K12" s="8"/>
      <c r="L12" s="8"/>
      <c r="M12" s="8"/>
      <c r="N12" s="8"/>
      <c r="O12" s="313">
        <f>SUM(C12:N12)</f>
        <v>0</v>
      </c>
      <c r="P12" s="313">
        <f t="shared" ref="P12:P16" si="2">SUM(G12:H12)</f>
        <v>0</v>
      </c>
      <c r="Q12" s="314"/>
      <c r="R12" s="314" t="str">
        <f>IFERROR(VLOOKUP(B12, UTIL_TABLE, 2, FALSE)*O12, "-")</f>
        <v>-</v>
      </c>
      <c r="S12" s="314" t="str">
        <f t="shared" si="0"/>
        <v>-</v>
      </c>
      <c r="T12" s="313">
        <f t="shared" si="1"/>
        <v>0</v>
      </c>
    </row>
    <row r="13" spans="1:20" ht="16" customHeight="1">
      <c r="A13" s="8"/>
      <c r="B13" s="8"/>
      <c r="C13" s="8"/>
      <c r="D13" s="8"/>
      <c r="E13" s="8"/>
      <c r="F13" s="8"/>
      <c r="G13" s="8"/>
      <c r="H13" s="8"/>
      <c r="I13" s="8"/>
      <c r="J13" s="8"/>
      <c r="K13" s="8"/>
      <c r="L13" s="8"/>
      <c r="M13" s="8"/>
      <c r="N13" s="8"/>
      <c r="O13" s="313">
        <f>SUM(C13:N13)</f>
        <v>0</v>
      </c>
      <c r="P13" s="313">
        <f t="shared" si="2"/>
        <v>0</v>
      </c>
      <c r="Q13" s="314"/>
      <c r="R13" s="314" t="str">
        <f>IFERROR(VLOOKUP(B13, UTIL_TABLE, 2, FALSE)*O13, "-")</f>
        <v>-</v>
      </c>
      <c r="S13" s="314" t="str">
        <f t="shared" si="0"/>
        <v>-</v>
      </c>
      <c r="T13" s="313">
        <f t="shared" si="1"/>
        <v>0</v>
      </c>
    </row>
    <row r="14" spans="1:20" ht="16" customHeight="1">
      <c r="A14" s="8"/>
      <c r="B14" s="8"/>
      <c r="C14" s="8"/>
      <c r="D14" s="8"/>
      <c r="E14" s="8"/>
      <c r="F14" s="8"/>
      <c r="G14" s="8"/>
      <c r="H14" s="8"/>
      <c r="I14" s="8"/>
      <c r="J14" s="8"/>
      <c r="K14" s="8"/>
      <c r="L14" s="8"/>
      <c r="M14" s="8"/>
      <c r="N14" s="8"/>
      <c r="O14" s="313">
        <f>SUM(C14:N14)</f>
        <v>0</v>
      </c>
      <c r="P14" s="313">
        <f t="shared" si="2"/>
        <v>0</v>
      </c>
      <c r="Q14" s="314"/>
      <c r="R14" s="314" t="str">
        <f>IFERROR(VLOOKUP(B14, UTIL_TABLE, 2, FALSE)*O14, "-")</f>
        <v>-</v>
      </c>
      <c r="S14" s="314" t="str">
        <f t="shared" si="0"/>
        <v>-</v>
      </c>
      <c r="T14" s="313">
        <f t="shared" si="1"/>
        <v>0</v>
      </c>
    </row>
    <row r="15" spans="1:20" ht="16" customHeight="1">
      <c r="A15" s="8"/>
      <c r="B15" s="8"/>
      <c r="C15" s="8"/>
      <c r="D15" s="8"/>
      <c r="E15" s="8"/>
      <c r="F15" s="8"/>
      <c r="G15" s="8"/>
      <c r="H15" s="8"/>
      <c r="I15" s="8"/>
      <c r="J15" s="8"/>
      <c r="K15" s="8"/>
      <c r="L15" s="8"/>
      <c r="M15" s="8"/>
      <c r="N15" s="8"/>
      <c r="O15" s="313">
        <f>SUM(C15:N15)</f>
        <v>0</v>
      </c>
      <c r="P15" s="313">
        <f t="shared" si="2"/>
        <v>0</v>
      </c>
      <c r="Q15" s="314"/>
      <c r="R15" s="314" t="str">
        <f>IFERROR(VLOOKUP(B15, UTIL_TABLE, 2, FALSE)*O15, "-")</f>
        <v>-</v>
      </c>
      <c r="S15" s="314" t="str">
        <f t="shared" si="0"/>
        <v>-</v>
      </c>
      <c r="T15" s="313">
        <f t="shared" si="1"/>
        <v>0</v>
      </c>
    </row>
    <row r="16" spans="1:20" ht="16" customHeight="1">
      <c r="A16" s="8"/>
      <c r="B16" s="8"/>
      <c r="C16" s="8"/>
      <c r="D16" s="8"/>
      <c r="E16" s="8"/>
      <c r="F16" s="8"/>
      <c r="G16" s="8"/>
      <c r="H16" s="8"/>
      <c r="I16" s="8"/>
      <c r="J16" s="8"/>
      <c r="K16" s="8"/>
      <c r="L16" s="8"/>
      <c r="M16" s="8"/>
      <c r="N16" s="8"/>
      <c r="O16" s="313">
        <f>SUM(C16:N16)</f>
        <v>0</v>
      </c>
      <c r="P16" s="313">
        <f t="shared" si="2"/>
        <v>0</v>
      </c>
      <c r="Q16" s="317"/>
      <c r="R16" s="314" t="s">
        <v>932</v>
      </c>
      <c r="S16" s="314" t="str">
        <f t="shared" si="0"/>
        <v>-</v>
      </c>
      <c r="T16" s="316">
        <f t="shared" si="1"/>
        <v>0</v>
      </c>
    </row>
    <row r="17" spans="17:20" ht="16" customHeight="1">
      <c r="Q17" s="318">
        <f>SUM(Q11:Q16)</f>
        <v>14</v>
      </c>
      <c r="T17" s="318">
        <f>SUM(T11:T16)</f>
        <v>1410758.58</v>
      </c>
    </row>
  </sheetData>
  <mergeCells count="1">
    <mergeCell ref="A8:B8"/>
  </mergeCells>
  <phoneticPr fontId="13" type="noConversion"/>
  <dataValidations count="1">
    <dataValidation type="list" allowBlank="1" showInputMessage="1" showErrorMessage="1" sqref="B11:B16">
      <formula1>$B$4:$B$7</formula1>
    </dataValidation>
  </dataValidations>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E29"/>
  <sheetViews>
    <sheetView zoomScale="85" zoomScaleNormal="85" workbookViewId="0">
      <selection activeCell="E9" sqref="E9"/>
    </sheetView>
  </sheetViews>
  <sheetFormatPr defaultRowHeight="16" customHeight="1"/>
  <cols>
    <col min="1" max="1" width="23.1796875" style="1" customWidth="1"/>
    <col min="2" max="2" width="21.36328125" style="1" customWidth="1"/>
    <col min="3" max="3" width="5" style="1" customWidth="1"/>
    <col min="4" max="4" width="14.36328125" style="1" customWidth="1"/>
    <col min="5" max="5" width="19.453125" style="1" customWidth="1"/>
    <col min="6" max="6" width="8.7265625" style="1"/>
    <col min="7" max="7" width="8.54296875" style="1" customWidth="1"/>
    <col min="8" max="16384" width="8.7265625" style="1"/>
  </cols>
  <sheetData>
    <row r="1" spans="1:5" ht="16" customHeight="1">
      <c r="A1" s="3" t="s">
        <v>317</v>
      </c>
    </row>
    <row r="3" spans="1:5" ht="16" customHeight="1">
      <c r="A3" s="84" t="s">
        <v>318</v>
      </c>
      <c r="B3" s="121">
        <v>1345</v>
      </c>
      <c r="D3" s="282" t="s">
        <v>846</v>
      </c>
      <c r="E3" s="284" t="str">
        <f>DI.EID</f>
        <v>KR3-PCS01.05</v>
      </c>
    </row>
    <row r="4" spans="1:5" ht="16" customHeight="1">
      <c r="A4" s="84" t="s">
        <v>320</v>
      </c>
      <c r="B4" s="89">
        <v>0.14984848672648221</v>
      </c>
      <c r="D4" s="282" t="s">
        <v>847</v>
      </c>
      <c r="E4" s="284" t="str">
        <f>DI.Customer</f>
        <v>Shinhan Card</v>
      </c>
    </row>
    <row r="5" spans="1:5" ht="16" customHeight="1">
      <c r="A5" s="84" t="s">
        <v>321</v>
      </c>
      <c r="B5" s="89">
        <v>0.33354560410312506</v>
      </c>
      <c r="D5" s="282" t="s">
        <v>343</v>
      </c>
      <c r="E5" s="284" t="str">
        <f>DI.ProjectName</f>
        <v>Cloudera infra support</v>
      </c>
    </row>
    <row r="6" spans="1:5" ht="16" customHeight="1">
      <c r="A6" s="84" t="s">
        <v>319</v>
      </c>
      <c r="B6" s="89">
        <v>3.0000000000000002E-2</v>
      </c>
      <c r="D6" s="282" t="s">
        <v>848</v>
      </c>
      <c r="E6" s="284" t="str">
        <f>DI.ProjectManager</f>
        <v>Park, Shin Wook</v>
      </c>
    </row>
    <row r="7" spans="1:5" ht="16" customHeight="1">
      <c r="D7" s="282" t="s">
        <v>849</v>
      </c>
      <c r="E7" s="284" t="str">
        <f>DI.ClientPrincipal</f>
        <v>Lee, Jung Heui</v>
      </c>
    </row>
    <row r="8" spans="1:5" ht="16" customHeight="1">
      <c r="A8" s="84" t="s">
        <v>322</v>
      </c>
      <c r="B8" s="90">
        <v>64000000</v>
      </c>
    </row>
    <row r="9" spans="1:5" ht="16" customHeight="1">
      <c r="A9" s="84" t="s">
        <v>323</v>
      </c>
      <c r="B9" s="91">
        <v>47583.643122676578</v>
      </c>
    </row>
    <row r="10" spans="1:5" ht="16" customHeight="1">
      <c r="A10" s="84" t="s">
        <v>324</v>
      </c>
      <c r="B10" s="92">
        <v>47.583643122676577</v>
      </c>
    </row>
    <row r="11" spans="1:5" ht="16" customHeight="1">
      <c r="A11" s="84" t="s">
        <v>331</v>
      </c>
      <c r="B11" s="90">
        <v>1242322.7574</v>
      </c>
    </row>
    <row r="12" spans="1:5" ht="16" customHeight="1">
      <c r="A12" s="84" t="s">
        <v>332</v>
      </c>
      <c r="B12" s="91">
        <v>923.66004267657991</v>
      </c>
    </row>
    <row r="13" spans="1:5" ht="16" customHeight="1">
      <c r="B13" s="88"/>
    </row>
    <row r="14" spans="1:5" ht="16" customHeight="1">
      <c r="A14" s="84" t="s">
        <v>333</v>
      </c>
      <c r="B14" s="90">
        <v>2180000</v>
      </c>
    </row>
    <row r="15" spans="1:5" ht="16" customHeight="1">
      <c r="A15" s="84" t="s">
        <v>325</v>
      </c>
      <c r="B15" s="91">
        <v>1620.817843866171</v>
      </c>
    </row>
    <row r="16" spans="1:5" ht="16" customHeight="1">
      <c r="A16" s="84" t="s">
        <v>334</v>
      </c>
      <c r="B16" s="90">
        <v>61820000</v>
      </c>
    </row>
    <row r="17" spans="1:2" ht="16" customHeight="1">
      <c r="A17" s="84" t="s">
        <v>326</v>
      </c>
      <c r="B17" s="91">
        <v>45962.825278810407</v>
      </c>
    </row>
    <row r="18" spans="1:2" ht="16" customHeight="1">
      <c r="A18" s="84" t="s">
        <v>335</v>
      </c>
      <c r="B18" s="90">
        <v>61820000</v>
      </c>
    </row>
    <row r="19" spans="1:2" ht="16" customHeight="1">
      <c r="A19" s="84" t="s">
        <v>336</v>
      </c>
      <c r="B19" s="91">
        <v>45962.825278810407</v>
      </c>
    </row>
    <row r="20" spans="1:2" ht="16" customHeight="1">
      <c r="A20" s="84" t="s">
        <v>337</v>
      </c>
      <c r="B20" s="90">
        <v>0</v>
      </c>
    </row>
    <row r="21" spans="1:2" ht="16" customHeight="1">
      <c r="A21" s="84" t="s">
        <v>338</v>
      </c>
      <c r="B21" s="91">
        <v>0</v>
      </c>
    </row>
    <row r="22" spans="1:2" ht="16" customHeight="1">
      <c r="B22" s="88"/>
    </row>
    <row r="23" spans="1:2" ht="16" customHeight="1">
      <c r="A23" s="84" t="s">
        <v>327</v>
      </c>
      <c r="B23" s="89">
        <v>3.4062500000000002E-2</v>
      </c>
    </row>
    <row r="24" spans="1:2" ht="16" customHeight="1">
      <c r="A24" s="84" t="s">
        <v>328</v>
      </c>
      <c r="B24" s="89">
        <v>0.9659375</v>
      </c>
    </row>
    <row r="25" spans="1:2" ht="16" customHeight="1">
      <c r="A25" s="84" t="s">
        <v>329</v>
      </c>
      <c r="B25" s="89">
        <v>0.9659375</v>
      </c>
    </row>
    <row r="26" spans="1:2" ht="16" customHeight="1">
      <c r="A26" s="84" t="s">
        <v>330</v>
      </c>
      <c r="B26" s="89">
        <v>0</v>
      </c>
    </row>
    <row r="28" spans="1:2" ht="16" customHeight="1">
      <c r="A28" s="84" t="s">
        <v>339</v>
      </c>
      <c r="B28" s="90">
        <v>41410758.579999998</v>
      </c>
    </row>
    <row r="29" spans="1:2" ht="16" customHeight="1">
      <c r="A29" s="84" t="s">
        <v>340</v>
      </c>
      <c r="B29" s="91">
        <v>30788.668089219329</v>
      </c>
    </row>
  </sheetData>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6385" r:id="rId4" name="Button 1">
              <controlPr defaultSize="0" print="0" autoFill="0" autoPict="0" macro="[0]!check_E3TResult">
                <anchor moveWithCells="1" sizeWithCells="1">
                  <from>
                    <xdr:col>1</xdr:col>
                    <xdr:colOff>38100</xdr:colOff>
                    <xdr:row>0</xdr:row>
                    <xdr:rowOff>57150</xdr:rowOff>
                  </from>
                  <to>
                    <xdr:col>1</xdr:col>
                    <xdr:colOff>1466850</xdr:colOff>
                    <xdr:row>1</xdr:row>
                    <xdr:rowOff>95250</xdr:rowOff>
                  </to>
                </anchor>
              </controlPr>
            </control>
          </mc:Choice>
        </mc:AlternateContent>
        <mc:AlternateContent xmlns:mc="http://schemas.openxmlformats.org/markup-compatibility/2006">
          <mc:Choice Requires="x14">
            <control shapeId="16388" r:id="rId5" name="Button 4">
              <controlPr defaultSize="0" print="0" autoFill="0" autoPict="0" macro="[0]!Module1.mail_for_PM_E3T_approval">
                <anchor moveWithCells="1" sizeWithCells="1">
                  <from>
                    <xdr:col>5</xdr:col>
                    <xdr:colOff>127000</xdr:colOff>
                    <xdr:row>1</xdr:row>
                    <xdr:rowOff>196850</xdr:rowOff>
                  </from>
                  <to>
                    <xdr:col>7</xdr:col>
                    <xdr:colOff>12700</xdr:colOff>
                    <xdr:row>3</xdr:row>
                    <xdr:rowOff>25400</xdr:rowOff>
                  </to>
                </anchor>
              </controlPr>
            </control>
          </mc:Choice>
        </mc:AlternateContent>
        <mc:AlternateContent xmlns:mc="http://schemas.openxmlformats.org/markup-compatibility/2006">
          <mc:Choice Requires="x14">
            <control shapeId="16389" r:id="rId6" name="Button 5">
              <controlPr defaultSize="0" print="0" autoFill="0" autoPict="0" macro="[0]!mail_for_E3T_approval">
                <anchor moveWithCells="1" sizeWithCells="1">
                  <from>
                    <xdr:col>5</xdr:col>
                    <xdr:colOff>127000</xdr:colOff>
                    <xdr:row>3</xdr:row>
                    <xdr:rowOff>76200</xdr:rowOff>
                  </from>
                  <to>
                    <xdr:col>7</xdr:col>
                    <xdr:colOff>12700</xdr:colOff>
                    <xdr:row>4</xdr:row>
                    <xdr:rowOff>114300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D20"/>
  <sheetViews>
    <sheetView zoomScale="85" zoomScaleNormal="85" workbookViewId="0">
      <selection activeCell="C23" sqref="C23"/>
    </sheetView>
  </sheetViews>
  <sheetFormatPr defaultRowHeight="16" customHeight="1"/>
  <cols>
    <col min="1" max="1" width="24" style="1" bestFit="1" customWidth="1"/>
    <col min="2" max="2" width="34.26953125" style="1" bestFit="1" customWidth="1"/>
    <col min="3" max="3" width="25.36328125" style="1" customWidth="1"/>
    <col min="4" max="4" width="28.1796875" style="1" customWidth="1"/>
    <col min="5" max="5" width="21.90625" style="1" customWidth="1"/>
    <col min="6" max="16384" width="8.7265625" style="1"/>
  </cols>
  <sheetData>
    <row r="1" spans="1:4" ht="16" customHeight="1">
      <c r="A1" s="3" t="s">
        <v>171</v>
      </c>
    </row>
    <row r="3" spans="1:4" ht="16" customHeight="1">
      <c r="A3" s="2" t="s">
        <v>184</v>
      </c>
    </row>
    <row r="4" spans="1:4" ht="16" customHeight="1">
      <c r="A4" s="108" t="s">
        <v>458</v>
      </c>
      <c r="B4" s="60" t="str">
        <f>IF('Cost simulation'!F3="O",'Cost simulation'!D3,IF('Cost simulation'!F4="O",'Cost simulation'!D4,IF('Cost simulation'!F5="O",'Cost simulation'!D5,IF('Cost simulation'!F6="O",'Cost simulation'!D6,IF('Cost simulation'!F7="O",'Cost simulation'!D7,IF('Cost simulation'!F8="O",'Cost simulation'!D8,IF('Cost simulation'!F9="O",'Cost simulation'!D9," - ")))))))</f>
        <v>OBR-Lite (Local DO)</v>
      </c>
    </row>
    <row r="5" spans="1:4" ht="16" customHeight="1">
      <c r="A5" s="50" t="s">
        <v>172</v>
      </c>
      <c r="B5" s="112">
        <v>44789</v>
      </c>
      <c r="C5" s="49" t="s">
        <v>173</v>
      </c>
      <c r="D5" s="53" t="s">
        <v>203</v>
      </c>
    </row>
    <row r="6" spans="1:4" ht="49.5" customHeight="1">
      <c r="A6" s="70" t="s">
        <v>174</v>
      </c>
      <c r="B6" s="144" t="s">
        <v>875</v>
      </c>
      <c r="D6" s="2"/>
    </row>
    <row r="7" spans="1:4" ht="16" customHeight="1">
      <c r="A7" s="50" t="s">
        <v>175</v>
      </c>
      <c r="B7" s="113">
        <v>44790</v>
      </c>
      <c r="D7" s="2"/>
    </row>
    <row r="8" spans="1:4" ht="16" customHeight="1">
      <c r="A8" s="50" t="s">
        <v>176</v>
      </c>
      <c r="B8" s="53" t="s">
        <v>177</v>
      </c>
      <c r="C8" s="49" t="s">
        <v>178</v>
      </c>
      <c r="D8" s="32" t="s">
        <v>180</v>
      </c>
    </row>
    <row r="9" spans="1:4" ht="16" customHeight="1">
      <c r="B9" s="2"/>
      <c r="D9" s="2"/>
    </row>
    <row r="10" spans="1:4" ht="16" customHeight="1">
      <c r="A10" s="2" t="s">
        <v>185</v>
      </c>
      <c r="B10" s="2"/>
      <c r="D10" s="2"/>
    </row>
    <row r="11" spans="1:4" ht="16" customHeight="1">
      <c r="A11" s="50" t="s">
        <v>186</v>
      </c>
      <c r="B11" s="56">
        <f>E3T.FLGM</f>
        <v>0.14984848672648221</v>
      </c>
      <c r="D11" s="2"/>
    </row>
    <row r="12" spans="1:4" ht="16" customHeight="1">
      <c r="A12" s="50" t="s">
        <v>187</v>
      </c>
      <c r="B12" s="78" t="s">
        <v>449</v>
      </c>
      <c r="D12" s="2"/>
    </row>
    <row r="13" spans="1:4" ht="16" customHeight="1">
      <c r="A13" s="50" t="s">
        <v>188</v>
      </c>
      <c r="B13" s="60">
        <f>'Deal info'!B23</f>
        <v>2</v>
      </c>
      <c r="C13" s="449" t="s">
        <v>189</v>
      </c>
      <c r="D13" s="54">
        <f>E3T.TCV</f>
        <v>64000000</v>
      </c>
    </row>
    <row r="14" spans="1:4" ht="16" customHeight="1">
      <c r="B14" s="2"/>
      <c r="C14" s="450"/>
      <c r="D14" s="55">
        <f>E3T.TCV_USD</f>
        <v>47583.643122676578</v>
      </c>
    </row>
    <row r="15" spans="1:4" ht="16" customHeight="1">
      <c r="A15" s="50" t="s">
        <v>191</v>
      </c>
      <c r="B15" s="52" t="s">
        <v>192</v>
      </c>
      <c r="C15" s="50" t="s">
        <v>190</v>
      </c>
      <c r="D15" s="61">
        <v>0</v>
      </c>
    </row>
    <row r="16" spans="1:4" ht="16" customHeight="1">
      <c r="A16" s="50" t="s">
        <v>193</v>
      </c>
      <c r="B16" s="52" t="s">
        <v>194</v>
      </c>
      <c r="C16" s="50" t="s">
        <v>195</v>
      </c>
      <c r="D16" s="32" t="s">
        <v>582</v>
      </c>
    </row>
    <row r="17" spans="1:4" ht="16" customHeight="1">
      <c r="A17" s="50" t="s">
        <v>196</v>
      </c>
      <c r="B17" s="32" t="s">
        <v>583</v>
      </c>
      <c r="C17" s="50" t="s">
        <v>197</v>
      </c>
      <c r="D17" s="57" t="s">
        <v>198</v>
      </c>
    </row>
    <row r="18" spans="1:4" ht="16" customHeight="1">
      <c r="A18" s="449" t="s">
        <v>199</v>
      </c>
      <c r="B18" s="58">
        <f>E3T.RISK_KRW</f>
        <v>1242322.7574</v>
      </c>
      <c r="C18" s="50" t="s">
        <v>200</v>
      </c>
      <c r="D18" s="56">
        <f>E3T.3PPDT_RATE</f>
        <v>0</v>
      </c>
    </row>
    <row r="19" spans="1:4" ht="16" customHeight="1">
      <c r="A19" s="450"/>
      <c r="B19" s="55">
        <f>E3T.RISK_USD</f>
        <v>923.66004267657991</v>
      </c>
      <c r="C19" s="8"/>
      <c r="D19" s="6"/>
    </row>
    <row r="20" spans="1:4" ht="16" customHeight="1">
      <c r="A20" s="50" t="s">
        <v>201</v>
      </c>
      <c r="B20" s="59">
        <f>1-D18</f>
        <v>1</v>
      </c>
      <c r="C20" s="50" t="s">
        <v>202</v>
      </c>
      <c r="D20" s="32" t="s">
        <v>204</v>
      </c>
    </row>
  </sheetData>
  <mergeCells count="2">
    <mergeCell ref="C13:C14"/>
    <mergeCell ref="A18:A19"/>
  </mergeCells>
  <phoneticPr fontId="13" type="noConversion"/>
  <dataValidations count="4">
    <dataValidation type="list" allowBlank="1" showInputMessage="1" showErrorMessage="1" sqref="D16">
      <formula1>"Public Sector,Channel,None"</formula1>
    </dataValidation>
    <dataValidation type="list" allowBlank="1" showInputMessage="1" showErrorMessage="1" sqref="B17">
      <formula1>"Very High,High,Medium,Low"</formula1>
    </dataValidation>
    <dataValidation type="list" allowBlank="1" showInputMessage="1" showErrorMessage="1" sqref="D20">
      <formula1>"No,NA,Yes"</formula1>
    </dataValidation>
    <dataValidation type="list" allowBlank="1" showInputMessage="1" showErrorMessage="1" sqref="B12">
      <formula1>"Local Invoicing only,Cross Border Invoicing,Central Invoicing"</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1">
        <x14:dataValidation type="list" allowBlank="1" showInputMessage="1" showErrorMessage="1">
          <x14:formula1>
            <xm:f>'Meta data'!$A$22:$A$25</xm:f>
          </x14:formula1>
          <xm:sqref>D8</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G13"/>
  <sheetViews>
    <sheetView workbookViewId="0">
      <selection activeCell="D11" sqref="D11"/>
    </sheetView>
  </sheetViews>
  <sheetFormatPr defaultRowHeight="16" customHeight="1"/>
  <cols>
    <col min="1" max="1" width="23.453125" style="1" customWidth="1"/>
    <col min="2" max="2" width="30.26953125" style="1" customWidth="1"/>
    <col min="3" max="3" width="32.1796875" style="1" customWidth="1"/>
    <col min="4" max="4" width="16.54296875" style="1" customWidth="1"/>
    <col min="5" max="16384" width="8.7265625" style="1"/>
  </cols>
  <sheetData>
    <row r="1" spans="1:7" ht="16" customHeight="1">
      <c r="A1" s="3" t="s">
        <v>464</v>
      </c>
    </row>
    <row r="3" spans="1:7" ht="16" customHeight="1">
      <c r="A3" s="118" t="s">
        <v>439</v>
      </c>
      <c r="B3" s="60" t="str">
        <f>DI.OPPID</f>
        <v>OPE-0014158119</v>
      </c>
    </row>
    <row r="4" spans="1:7" ht="16" customHeight="1">
      <c r="A4" s="118" t="s">
        <v>169</v>
      </c>
      <c r="B4" s="60" t="str">
        <f>DI.Customer</f>
        <v>Shinhan Card</v>
      </c>
    </row>
    <row r="5" spans="1:7" ht="16" customHeight="1">
      <c r="A5" s="118" t="s">
        <v>68</v>
      </c>
      <c r="B5" s="60" t="str">
        <f>DI.ProjectName</f>
        <v>Cloudera infra support</v>
      </c>
    </row>
    <row r="7" spans="1:7" ht="16" customHeight="1">
      <c r="A7" s="2" t="s">
        <v>465</v>
      </c>
    </row>
    <row r="8" spans="1:7" ht="16" customHeight="1">
      <c r="A8" s="125" t="s">
        <v>466</v>
      </c>
      <c r="B8" s="453" t="s">
        <v>467</v>
      </c>
      <c r="C8" s="453"/>
      <c r="D8" s="125" t="s">
        <v>468</v>
      </c>
    </row>
    <row r="9" spans="1:7" ht="63.5" customHeight="1">
      <c r="A9" s="286" t="str">
        <f>'Deal info'!B29</f>
        <v>Big data platform upgrade</v>
      </c>
      <c r="B9" s="454" t="str">
        <f>'Deal info'!D29</f>
        <v>- CDP 7.x installation
- Data node upgrade and configuring cluster
- Data migration and validation
- Interfacing to Active Directory and applying authentication</v>
      </c>
      <c r="C9" s="452"/>
      <c r="D9" s="298" t="s">
        <v>877</v>
      </c>
      <c r="F9" s="160"/>
      <c r="G9" s="160"/>
    </row>
    <row r="10" spans="1:7" ht="69.5" customHeight="1">
      <c r="A10" s="286" t="str">
        <f>'Deal info'!B30</f>
        <v>Big data business system upgrade</v>
      </c>
      <c r="B10" s="454" t="str">
        <f>'Deal info'!D30</f>
        <v>- Interfacing visualization system (Qilk) to the upgraded CDP
- Interfacing Big data portal to the CDP (Login, API interface, etc.)
- ETL upgrade and ETL program transformation/validation
- Data migration (running ETL)</v>
      </c>
      <c r="C10" s="452"/>
      <c r="D10" s="140" t="s">
        <v>916</v>
      </c>
      <c r="F10" s="160"/>
      <c r="G10" s="160"/>
    </row>
    <row r="11" spans="1:7" ht="76.5" customHeight="1">
      <c r="A11" s="286" t="str">
        <f>'Deal info'!B31</f>
        <v>Analysis platform (Kubernetes) upgrade</v>
      </c>
      <c r="B11" s="454" t="str">
        <f>'Deal info'!D31</f>
        <v>- Kubernetes cluster upgrade
- Kubernetes cluster migration
- Python standard program/modeller validation
- CDP interfacing and validation</v>
      </c>
      <c r="C11" s="452"/>
      <c r="D11" s="298" t="s">
        <v>876</v>
      </c>
      <c r="F11" s="161"/>
      <c r="G11" s="160"/>
    </row>
    <row r="12" spans="1:7" ht="40" customHeight="1">
      <c r="A12" s="303" t="str">
        <f>'Deal info'!B32</f>
        <v>Implementing real-time data collection envrionment</v>
      </c>
      <c r="B12" s="454" t="str">
        <f>'Deal info'!D32</f>
        <v>- Kafka cluster implementation for real-time data streaming
- Applying current collection system to the new Kafka cluster</v>
      </c>
      <c r="C12" s="452"/>
      <c r="D12" s="302" t="s">
        <v>916</v>
      </c>
      <c r="G12" s="161"/>
    </row>
    <row r="13" spans="1:7" ht="40" customHeight="1">
      <c r="A13" s="286" t="str">
        <f>IF('Deal info'!B33 = "", "")</f>
        <v/>
      </c>
      <c r="B13" s="451" t="str">
        <f>IF('Deal info'!D34 = "", "")</f>
        <v/>
      </c>
      <c r="C13" s="452"/>
      <c r="D13" s="120"/>
    </row>
  </sheetData>
  <mergeCells count="6">
    <mergeCell ref="B13:C13"/>
    <mergeCell ref="B8:C8"/>
    <mergeCell ref="B9:C9"/>
    <mergeCell ref="B10:C10"/>
    <mergeCell ref="B11:C11"/>
    <mergeCell ref="B12:C12"/>
  </mergeCells>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write_SOW">
                <anchor moveWithCells="1" sizeWithCells="1">
                  <from>
                    <xdr:col>1</xdr:col>
                    <xdr:colOff>57150</xdr:colOff>
                    <xdr:row>0</xdr:row>
                    <xdr:rowOff>50800</xdr:rowOff>
                  </from>
                  <to>
                    <xdr:col>1</xdr:col>
                    <xdr:colOff>1708150</xdr:colOff>
                    <xdr:row>1</xdr:row>
                    <xdr:rowOff>69850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Q25"/>
  <sheetViews>
    <sheetView topLeftCell="D1" zoomScale="70" zoomScaleNormal="70" workbookViewId="0">
      <selection activeCell="L11" sqref="L11"/>
    </sheetView>
  </sheetViews>
  <sheetFormatPr defaultRowHeight="16" customHeight="1"/>
  <cols>
    <col min="1" max="1" width="8.54296875" style="1" customWidth="1"/>
    <col min="2" max="2" width="10.7265625" style="1" customWidth="1"/>
    <col min="3" max="3" width="27.7265625" style="1" customWidth="1"/>
    <col min="4" max="4" width="7.90625" style="1" customWidth="1"/>
    <col min="5" max="5" width="16.6328125" style="1" customWidth="1"/>
    <col min="6" max="6" width="28.08984375" style="1" customWidth="1"/>
    <col min="7" max="7" width="18.81640625" style="1" customWidth="1"/>
    <col min="8" max="8" width="12.36328125" style="1" customWidth="1"/>
    <col min="9" max="9" width="17.6328125" style="1" bestFit="1" customWidth="1"/>
    <col min="10" max="10" width="13.81640625" style="1" customWidth="1"/>
    <col min="11" max="11" width="14.1796875" style="1" customWidth="1"/>
    <col min="12" max="12" width="22.90625" style="1" bestFit="1" customWidth="1"/>
    <col min="13" max="13" width="11.90625" style="1" bestFit="1" customWidth="1"/>
    <col min="14" max="14" width="13.453125" style="4" customWidth="1"/>
    <col min="15" max="15" width="15.1796875" style="1" customWidth="1"/>
    <col min="16" max="16" width="18.6328125" style="1" customWidth="1"/>
    <col min="17" max="17" width="13.26953125" style="1" customWidth="1"/>
    <col min="18" max="16384" width="8.7265625" style="1"/>
  </cols>
  <sheetData>
    <row r="1" spans="1:17" ht="16" customHeight="1">
      <c r="A1" s="3" t="s">
        <v>267</v>
      </c>
      <c r="B1" s="3"/>
      <c r="C1" s="3"/>
    </row>
    <row r="3" spans="1:17" ht="16" customHeight="1">
      <c r="A3" s="438" t="s">
        <v>269</v>
      </c>
      <c r="B3" s="439"/>
      <c r="C3" s="67" t="str">
        <f>DI.Customer</f>
        <v>Shinhan Card</v>
      </c>
      <c r="E3" s="69" t="s">
        <v>274</v>
      </c>
      <c r="F3" s="123">
        <f>E3T.TCV_USD</f>
        <v>47583.643122676578</v>
      </c>
    </row>
    <row r="4" spans="1:17" ht="16" customHeight="1">
      <c r="A4" s="438" t="s">
        <v>268</v>
      </c>
      <c r="B4" s="439"/>
      <c r="C4" s="67" t="str">
        <f>DI.ProjectName</f>
        <v>Cloudera infra support</v>
      </c>
      <c r="E4" s="69" t="s">
        <v>275</v>
      </c>
      <c r="F4" s="121">
        <f>E3T.TOTALCOST_USD</f>
        <v>30788.668089219329</v>
      </c>
      <c r="I4" s="300">
        <f>F3*0.1*0.05</f>
        <v>237.9182156133829</v>
      </c>
      <c r="J4" s="148"/>
    </row>
    <row r="5" spans="1:17" ht="16" customHeight="1">
      <c r="A5" s="438" t="s">
        <v>270</v>
      </c>
      <c r="B5" s="439"/>
      <c r="C5" s="67" t="str">
        <f>DI.OPPID &amp; " / " &amp; DI.EID</f>
        <v>OPE-0014158119 / KR3-PCS01.05</v>
      </c>
      <c r="E5" s="69" t="s">
        <v>311</v>
      </c>
      <c r="F5" s="121">
        <f>E3T.RISK_USD</f>
        <v>923.66004267657991</v>
      </c>
    </row>
    <row r="6" spans="1:17" ht="16" customHeight="1">
      <c r="A6" s="438" t="s">
        <v>271</v>
      </c>
      <c r="B6" s="439"/>
      <c r="C6" s="67" t="str">
        <f>DI.ProjectManager</f>
        <v>Park, Shin Wook</v>
      </c>
      <c r="E6" s="69" t="s">
        <v>276</v>
      </c>
      <c r="F6" s="78" t="s">
        <v>851</v>
      </c>
    </row>
    <row r="7" spans="1:17" ht="16" customHeight="1">
      <c r="A7" s="438" t="s">
        <v>273</v>
      </c>
      <c r="B7" s="439"/>
      <c r="C7" s="77">
        <f>DI.StartDate</f>
        <v>44896</v>
      </c>
      <c r="E7" s="69" t="s">
        <v>277</v>
      </c>
      <c r="F7" s="76">
        <v>44776</v>
      </c>
    </row>
    <row r="8" spans="1:17" ht="16" customHeight="1">
      <c r="A8" s="438" t="s">
        <v>272</v>
      </c>
      <c r="B8" s="439"/>
      <c r="C8" s="67">
        <f>DI.ProjectDuration</f>
        <v>2</v>
      </c>
      <c r="E8" s="278" t="s">
        <v>318</v>
      </c>
      <c r="F8" s="123">
        <f>'Deal info'!B17</f>
        <v>1345</v>
      </c>
    </row>
    <row r="9" spans="1:17" ht="16" customHeight="1">
      <c r="H9" s="70" t="s">
        <v>316</v>
      </c>
      <c r="I9" s="290">
        <f>SUM(I11:I17)</f>
        <v>44415.600284510525</v>
      </c>
      <c r="J9" s="290">
        <f>SUM(J11:J17)</f>
        <v>923.66004267657991</v>
      </c>
      <c r="K9" s="291">
        <f>SUM(K11:K17)</f>
        <v>1242322.7574000005</v>
      </c>
    </row>
    <row r="10" spans="1:17" ht="39.5" customHeight="1">
      <c r="A10" s="70" t="s">
        <v>290</v>
      </c>
      <c r="B10" s="70" t="s">
        <v>291</v>
      </c>
      <c r="C10" s="69" t="s">
        <v>292</v>
      </c>
      <c r="D10" s="70" t="s">
        <v>293</v>
      </c>
      <c r="E10" s="69" t="s">
        <v>294</v>
      </c>
      <c r="F10" s="69" t="s">
        <v>295</v>
      </c>
      <c r="G10" s="69" t="s">
        <v>296</v>
      </c>
      <c r="H10" s="70" t="s">
        <v>297</v>
      </c>
      <c r="I10" s="69" t="s">
        <v>314</v>
      </c>
      <c r="J10" s="70" t="s">
        <v>312</v>
      </c>
      <c r="K10" s="70" t="s">
        <v>313</v>
      </c>
      <c r="L10" s="69" t="s">
        <v>459</v>
      </c>
      <c r="M10" s="119" t="s">
        <v>463</v>
      </c>
    </row>
    <row r="11" spans="1:17" s="79" customFormat="1" ht="76.5" customHeight="1">
      <c r="A11" s="75" t="s">
        <v>289</v>
      </c>
      <c r="B11" s="80">
        <f>$F$7</f>
        <v>44776</v>
      </c>
      <c r="C11" s="81" t="s">
        <v>878</v>
      </c>
      <c r="D11" s="81" t="s">
        <v>19</v>
      </c>
      <c r="E11" s="75" t="s">
        <v>879</v>
      </c>
      <c r="F11" s="75" t="s">
        <v>880</v>
      </c>
      <c r="G11" s="75" t="s">
        <v>315</v>
      </c>
      <c r="H11" s="82">
        <v>0.05</v>
      </c>
      <c r="I11" s="295">
        <f>J11/H11</f>
        <v>57386.8</v>
      </c>
      <c r="J11" s="296">
        <v>2869.34</v>
      </c>
      <c r="K11" s="289">
        <f>J11*F8</f>
        <v>3859262.3000000003</v>
      </c>
      <c r="L11" s="75" t="s">
        <v>852</v>
      </c>
      <c r="M11" s="124" t="str">
        <f t="shared" ref="M11:M17" si="0">IF(H11=0.05, "L", IF(H11=0.15, "M", "-"))</f>
        <v>L</v>
      </c>
      <c r="N11" s="305">
        <v>4703635</v>
      </c>
      <c r="O11" s="306">
        <f>N11/SUM(N11:N12)</f>
        <v>0.31579390834350757</v>
      </c>
      <c r="P11" s="307">
        <f>K11*O11</f>
        <v>1218731.5250397543</v>
      </c>
      <c r="Q11" s="83">
        <f>N11-P11</f>
        <v>3484903.4749602457</v>
      </c>
    </row>
    <row r="12" spans="1:17" s="79" customFormat="1" ht="107" customHeight="1">
      <c r="A12" s="75" t="s">
        <v>881</v>
      </c>
      <c r="B12" s="80">
        <f t="shared" ref="B12:B17" si="1">$F$7</f>
        <v>44776</v>
      </c>
      <c r="C12" s="81" t="s">
        <v>890</v>
      </c>
      <c r="D12" s="81" t="s">
        <v>882</v>
      </c>
      <c r="E12" s="75" t="s">
        <v>883</v>
      </c>
      <c r="F12" s="75" t="s">
        <v>884</v>
      </c>
      <c r="G12" s="75" t="s">
        <v>885</v>
      </c>
      <c r="H12" s="82">
        <v>0.15</v>
      </c>
      <c r="I12" s="295">
        <f>J12/H12</f>
        <v>23333.333333333336</v>
      </c>
      <c r="J12" s="296">
        <v>3500</v>
      </c>
      <c r="K12" s="289">
        <f>J12*F8</f>
        <v>4707500</v>
      </c>
      <c r="L12" s="75" t="s">
        <v>886</v>
      </c>
      <c r="M12" s="124" t="str">
        <f t="shared" si="0"/>
        <v>M</v>
      </c>
      <c r="N12" s="305">
        <v>10191000</v>
      </c>
      <c r="O12" s="306">
        <f>N12/SUM(N11:N12)</f>
        <v>0.68420609165649238</v>
      </c>
      <c r="P12" s="307">
        <f>O12*K11</f>
        <v>2640530.7749602459</v>
      </c>
      <c r="Q12" s="307">
        <f>K12-Q11</f>
        <v>1222596.5250397543</v>
      </c>
    </row>
    <row r="13" spans="1:17" s="79" customFormat="1" ht="118" customHeight="1">
      <c r="A13" s="75" t="s">
        <v>881</v>
      </c>
      <c r="B13" s="80">
        <f t="shared" si="1"/>
        <v>44776</v>
      </c>
      <c r="C13" s="81" t="s">
        <v>890</v>
      </c>
      <c r="D13" s="81" t="s">
        <v>911</v>
      </c>
      <c r="E13" s="75" t="s">
        <v>887</v>
      </c>
      <c r="F13" s="75" t="s">
        <v>888</v>
      </c>
      <c r="G13" s="75" t="s">
        <v>885</v>
      </c>
      <c r="H13" s="82">
        <v>0.15</v>
      </c>
      <c r="I13" s="295">
        <f>J13/H13</f>
        <v>-36304.533048822806</v>
      </c>
      <c r="J13" s="296">
        <f>F5-SUM(J11:J12)</f>
        <v>-5445.6799573234202</v>
      </c>
      <c r="K13" s="289">
        <f>J13*F8</f>
        <v>-7324439.5426000003</v>
      </c>
      <c r="L13" s="140" t="s">
        <v>889</v>
      </c>
      <c r="M13" s="124" t="str">
        <f t="shared" si="0"/>
        <v>M</v>
      </c>
      <c r="N13" s="305"/>
    </row>
    <row r="14" spans="1:17" s="79" customFormat="1" ht="32" customHeight="1">
      <c r="A14" s="75"/>
      <c r="B14" s="80">
        <f t="shared" si="1"/>
        <v>44776</v>
      </c>
      <c r="C14" s="81"/>
      <c r="D14" s="81"/>
      <c r="E14" s="75"/>
      <c r="F14" s="75"/>
      <c r="G14" s="75"/>
      <c r="H14" s="75"/>
      <c r="I14" s="288">
        <f>IFERROR(J14/H14, 0)</f>
        <v>0</v>
      </c>
      <c r="J14" s="296"/>
      <c r="K14" s="287" cm="1">
        <f t="array" ref="K14">J14*EXCHG_RATE</f>
        <v>0</v>
      </c>
      <c r="L14" s="75"/>
      <c r="M14" s="124" t="str">
        <f t="shared" si="0"/>
        <v>-</v>
      </c>
      <c r="N14" s="305"/>
    </row>
    <row r="15" spans="1:17" s="79" customFormat="1" ht="32" customHeight="1">
      <c r="A15" s="75"/>
      <c r="B15" s="80">
        <f t="shared" si="1"/>
        <v>44776</v>
      </c>
      <c r="C15" s="81"/>
      <c r="D15" s="81"/>
      <c r="E15" s="75"/>
      <c r="F15" s="75"/>
      <c r="G15" s="75"/>
      <c r="H15" s="75"/>
      <c r="I15" s="288">
        <f>IFERROR(J15/H15, 0)</f>
        <v>0</v>
      </c>
      <c r="J15" s="296"/>
      <c r="K15" s="287" cm="1">
        <f t="array" ref="K15">J15*EXCHG_RATE</f>
        <v>0</v>
      </c>
      <c r="L15" s="75"/>
      <c r="M15" s="124" t="str">
        <f t="shared" si="0"/>
        <v>-</v>
      </c>
      <c r="N15" s="305"/>
    </row>
    <row r="16" spans="1:17" s="79" customFormat="1" ht="32" customHeight="1">
      <c r="A16" s="75"/>
      <c r="B16" s="80">
        <f t="shared" si="1"/>
        <v>44776</v>
      </c>
      <c r="C16" s="81"/>
      <c r="D16" s="81"/>
      <c r="E16" s="75"/>
      <c r="F16" s="75"/>
      <c r="G16" s="75"/>
      <c r="H16" s="75"/>
      <c r="I16" s="288">
        <f>IFERROR(J16/H16, 0)</f>
        <v>0</v>
      </c>
      <c r="J16" s="296"/>
      <c r="K16" s="287" cm="1">
        <f t="array" ref="K16">J16*EXCHG_RATE</f>
        <v>0</v>
      </c>
      <c r="L16" s="75"/>
      <c r="M16" s="124" t="str">
        <f t="shared" si="0"/>
        <v>-</v>
      </c>
      <c r="N16" s="305"/>
    </row>
    <row r="17" spans="1:14" s="79" customFormat="1" ht="32" customHeight="1">
      <c r="A17" s="75"/>
      <c r="B17" s="80">
        <f t="shared" si="1"/>
        <v>44776</v>
      </c>
      <c r="C17" s="81"/>
      <c r="D17" s="81"/>
      <c r="E17" s="75"/>
      <c r="F17" s="75"/>
      <c r="G17" s="75"/>
      <c r="H17" s="75"/>
      <c r="I17" s="288">
        <f>IFERROR(J17/H17, 0)</f>
        <v>0</v>
      </c>
      <c r="J17" s="296"/>
      <c r="K17" s="287" cm="1">
        <f t="array" ref="K17">J17*EXCHG_RATE</f>
        <v>0</v>
      </c>
      <c r="L17" s="75"/>
      <c r="M17" s="124" t="str">
        <f t="shared" si="0"/>
        <v>-</v>
      </c>
      <c r="N17" s="305"/>
    </row>
    <row r="18" spans="1:14" s="79" customFormat="1" ht="32" customHeight="1">
      <c r="I18" s="83"/>
      <c r="N18" s="305"/>
    </row>
    <row r="19" spans="1:14" ht="16" customHeight="1">
      <c r="E19" s="5"/>
      <c r="G19" s="5"/>
      <c r="I19" s="4"/>
      <c r="J19" s="4"/>
      <c r="K19" s="4"/>
      <c r="L19" s="4"/>
      <c r="M19" s="4"/>
    </row>
    <row r="20" spans="1:14" ht="16" customHeight="1">
      <c r="E20" s="5"/>
      <c r="G20" s="5"/>
      <c r="I20" s="4"/>
      <c r="J20" s="4"/>
      <c r="K20" s="4"/>
      <c r="L20" s="4"/>
      <c r="M20" s="4"/>
    </row>
    <row r="21" spans="1:14" ht="16" customHeight="1">
      <c r="E21" s="5"/>
      <c r="G21" s="5"/>
      <c r="I21" s="4"/>
      <c r="J21" s="4"/>
      <c r="K21" s="4"/>
      <c r="L21" s="4"/>
      <c r="M21" s="4"/>
    </row>
    <row r="22" spans="1:14" ht="16" customHeight="1">
      <c r="I22" s="4"/>
      <c r="J22" s="4"/>
      <c r="K22" s="4"/>
      <c r="L22" s="4"/>
      <c r="M22" s="4"/>
    </row>
    <row r="23" spans="1:14" ht="16" customHeight="1">
      <c r="F23" s="4"/>
      <c r="G23" s="4"/>
      <c r="H23" s="4"/>
      <c r="I23" s="4"/>
      <c r="J23" s="4"/>
      <c r="K23" s="4"/>
      <c r="L23" s="4"/>
      <c r="M23" s="4"/>
    </row>
    <row r="24" spans="1:14" ht="16" customHeight="1">
      <c r="F24" s="4"/>
      <c r="G24" s="4"/>
      <c r="H24" s="4"/>
      <c r="I24" s="4"/>
      <c r="J24" s="4"/>
      <c r="K24" s="4"/>
      <c r="L24" s="4"/>
    </row>
    <row r="25" spans="1:14" ht="16" customHeight="1">
      <c r="F25" s="4"/>
      <c r="G25" s="4"/>
      <c r="H25" s="4"/>
      <c r="I25" s="4"/>
      <c r="J25" s="4"/>
      <c r="K25" s="4"/>
      <c r="L25" s="4"/>
    </row>
  </sheetData>
  <mergeCells count="6">
    <mergeCell ref="A8:B8"/>
    <mergeCell ref="A3:B3"/>
    <mergeCell ref="A4:B4"/>
    <mergeCell ref="A5:B5"/>
    <mergeCell ref="A6:B6"/>
    <mergeCell ref="A7:B7"/>
  </mergeCells>
  <phoneticPr fontId="13" type="noConversion"/>
  <dataValidations count="1">
    <dataValidation type="list" allowBlank="1" showInputMessage="1" showErrorMessage="1" sqref="D11:D17">
      <formula1>"HPE,Service,Product"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71" r:id="rId4" name="Button 7">
              <controlPr defaultSize="0" print="0" autoFill="0" autoPict="0" macro="[0]!write_RiskLog">
                <anchor moveWithCells="1" sizeWithCells="1">
                  <from>
                    <xdr:col>2</xdr:col>
                    <xdr:colOff>57150</xdr:colOff>
                    <xdr:row>0</xdr:row>
                    <xdr:rowOff>57150</xdr:rowOff>
                  </from>
                  <to>
                    <xdr:col>2</xdr:col>
                    <xdr:colOff>1568450</xdr:colOff>
                    <xdr:row>1</xdr:row>
                    <xdr:rowOff>101600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14:formula1>
            <xm:f>'Meta data'!$I$14:$I$23</xm:f>
          </x14:formula1>
          <xm:sqref>F6</xm:sqref>
        </x14:dataValidation>
        <x14:dataValidation type="list" allowBlank="1" showInputMessage="1" showErrorMessage="1">
          <x14:formula1>
            <xm:f>'Meta data'!$A$28:$A$40</xm:f>
          </x14:formula1>
          <xm:sqref>C11:C17</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1"/>
  <dimension ref="A1:H22"/>
  <sheetViews>
    <sheetView topLeftCell="A13" zoomScale="70" zoomScaleNormal="70" workbookViewId="0">
      <selection activeCell="B17" sqref="B17"/>
    </sheetView>
  </sheetViews>
  <sheetFormatPr defaultRowHeight="16" customHeight="1"/>
  <cols>
    <col min="1" max="1" width="21" style="1" bestFit="1" customWidth="1"/>
    <col min="2" max="2" width="48.453125" style="1" customWidth="1"/>
    <col min="3" max="3" width="44.90625" style="1" customWidth="1"/>
    <col min="4" max="4" width="8.7265625" style="1"/>
    <col min="5" max="5" width="16.36328125" style="1" customWidth="1"/>
    <col min="6" max="6" width="13" style="1" customWidth="1"/>
    <col min="7" max="7" width="8.7265625" style="1"/>
    <col min="8" max="8" width="12" style="1" bestFit="1" customWidth="1"/>
    <col min="9" max="16384" width="8.7265625" style="1"/>
  </cols>
  <sheetData>
    <row r="1" spans="1:8" ht="16" customHeight="1">
      <c r="A1" s="3" t="s">
        <v>341</v>
      </c>
    </row>
    <row r="2" spans="1:8" ht="16" customHeight="1">
      <c r="A2" s="117" t="str">
        <f>IF(OR('Cost simulation'!F7="O",'Cost simulation'!F8="O", 'Cost simulation'!F9="O"),"APAC Opinion","No Need for this")</f>
        <v>No Need for this</v>
      </c>
    </row>
    <row r="3" spans="1:8" ht="16" customHeight="1">
      <c r="A3" s="84" t="s">
        <v>342</v>
      </c>
      <c r="B3" s="67" t="str">
        <f>DI.Customer</f>
        <v>Shinhan Card</v>
      </c>
    </row>
    <row r="4" spans="1:8" ht="16" customHeight="1">
      <c r="A4" s="84" t="s">
        <v>343</v>
      </c>
      <c r="B4" s="67" t="str">
        <f>DI.ProjectName</f>
        <v>Cloudera infra support</v>
      </c>
    </row>
    <row r="5" spans="1:8" ht="16" customHeight="1">
      <c r="A5" s="84" t="s">
        <v>344</v>
      </c>
      <c r="B5" s="67" t="str">
        <f>DI.OPPID</f>
        <v>OPE-0014158119</v>
      </c>
    </row>
    <row r="6" spans="1:8" ht="16" customHeight="1">
      <c r="A6" s="84" t="s">
        <v>345</v>
      </c>
      <c r="B6" s="67" t="str">
        <f>DI.PreparedBy</f>
        <v>Her, Il</v>
      </c>
    </row>
    <row r="7" spans="1:8" ht="16" customHeight="1">
      <c r="A7" s="84" t="s">
        <v>346</v>
      </c>
      <c r="B7" s="106">
        <v>44782</v>
      </c>
    </row>
    <row r="9" spans="1:8" ht="98" customHeight="1">
      <c r="A9" s="84" t="s">
        <v>347</v>
      </c>
      <c r="B9" s="455" t="str">
        <f>DI.REQUIREMENT</f>
        <v>- Upgrade the integrated analysis platform that was built and operated using Cloudera
- This improves customer service by securing system stability and supporting efficient infrastructure operation
- In addition, enahnce service satisfaction and discover new business to strengthen business competitiveness</v>
      </c>
      <c r="C9" s="456"/>
    </row>
    <row r="10" spans="1:8" ht="101.5" customHeight="1">
      <c r="A10" s="84" t="s">
        <v>348</v>
      </c>
      <c r="B10" s="457" t="s">
        <v>917</v>
      </c>
      <c r="C10" s="457"/>
    </row>
    <row r="11" spans="1:8" ht="274.5" customHeight="1">
      <c r="A11" s="70" t="s">
        <v>355</v>
      </c>
      <c r="B11" s="458" t="str">
        <f>'Deal info'!B29&amp;CHAR(10)&amp;'Deal info'!D29
&amp;IF('Deal info'!B30&lt;&gt;"",CHAR(10)&amp;CHAR(10)&amp;'Deal info'!B30&amp;CHAR(10)&amp;'Deal info'!D30
&amp;IF('Deal info'!B31&lt;&gt;"",CHAR(10)&amp;CHAR(10)&amp;'Deal info'!B31&amp;CHAR(10)&amp;'Deal info'!D31
&amp;IF('Deal info'!B32&lt;&gt;"",CHAR(10)&amp;CHAR(10)&amp;'Deal info'!B32&amp;CHAR(10)&amp;'Deal info'!D32
&amp;IF('Deal info'!B33&lt;&gt;"",CHAR(10)&amp;CHAR(10)&amp;'Deal info'!B33&amp;CHAR(10)&amp;'Deal info'!D33))))</f>
        <v>Big data platform upgrade
- CDP 7.x installation
- Data node upgrade and configuring cluster
- Data migration and validation
- Interfacing to Active Directory and applying authentication
Big data business system upgrade
- Interfacing visualization system (Qilk) to the upgraded CDP
- Interfacing Big data portal to the CDP (Login, API interface, etc.)
- ETL upgrade and ETL program transformation/validation
- Data migration (running ETL)
Analysis platform (Kubernetes) upgrade
- Kubernetes cluster upgrade
- Kubernetes cluster migration
- Python standard program/modeller validation
- CDP interfacing and validation
Implementing real-time data collection envrionment
- Kafka cluster implementation for real-time data streaming
- Applying current collection system to the new Kafka clusterFALSE</v>
      </c>
      <c r="C11" s="459"/>
    </row>
    <row r="12" spans="1:8" ht="34.5" customHeight="1">
      <c r="A12" s="70" t="s">
        <v>356</v>
      </c>
      <c r="B12" s="457"/>
      <c r="C12" s="457"/>
    </row>
    <row r="13" spans="1:8" ht="43.5" customHeight="1">
      <c r="A13" s="84" t="s">
        <v>349</v>
      </c>
      <c r="B13" s="460" t="str">
        <f>DI.Assumption</f>
        <v>- H/W and S/W will be provided by the customer (another contract)
- Contract with the customer in August but the project will start in December due to the resignation of the person in charge.</v>
      </c>
      <c r="C13" s="459"/>
    </row>
    <row r="15" spans="1:8" ht="16" customHeight="1">
      <c r="A15" s="86" t="s">
        <v>359</v>
      </c>
      <c r="B15" s="84" t="s">
        <v>350</v>
      </c>
      <c r="C15" s="84" t="s">
        <v>351</v>
      </c>
      <c r="D15" s="84" t="s">
        <v>352</v>
      </c>
      <c r="E15" s="84" t="s">
        <v>353</v>
      </c>
      <c r="F15" s="84" t="s">
        <v>354</v>
      </c>
    </row>
    <row r="16" spans="1:8" ht="117" customHeight="1">
      <c r="A16" s="107" t="s">
        <v>877</v>
      </c>
      <c r="B16" s="304" t="s">
        <v>918</v>
      </c>
      <c r="C16" s="299" t="s">
        <v>893</v>
      </c>
      <c r="D16" s="87" t="s">
        <v>892</v>
      </c>
      <c r="E16" s="110">
        <v>166000000</v>
      </c>
      <c r="F16" s="111">
        <f>E16/E3T.EXCHG_RATE</f>
        <v>123420.07434944238</v>
      </c>
      <c r="H16" s="165"/>
    </row>
    <row r="17" spans="1:8" ht="95" customHeight="1">
      <c r="A17" s="107" t="s">
        <v>876</v>
      </c>
      <c r="B17" s="308" t="s">
        <v>924</v>
      </c>
      <c r="C17" s="308" t="s">
        <v>925</v>
      </c>
      <c r="D17" s="87" t="s">
        <v>892</v>
      </c>
      <c r="E17" s="110">
        <v>173700000</v>
      </c>
      <c r="F17" s="111">
        <f>E17/EXCHG_RATE</f>
        <v>129144.9814126394</v>
      </c>
      <c r="H17" s="165"/>
    </row>
    <row r="18" spans="1:8" ht="108" customHeight="1">
      <c r="A18" s="107"/>
      <c r="B18" s="308"/>
      <c r="C18" s="308"/>
      <c r="D18" s="87"/>
      <c r="E18" s="110"/>
      <c r="F18" s="111">
        <f>E18/EXCHG_RATE</f>
        <v>0</v>
      </c>
    </row>
    <row r="19" spans="1:8" ht="16" customHeight="1">
      <c r="A19" s="107"/>
      <c r="B19" s="87"/>
      <c r="C19" s="87"/>
      <c r="D19" s="87"/>
      <c r="E19" s="110"/>
      <c r="F19" s="111">
        <f>E19/EXCHG_RATE</f>
        <v>0</v>
      </c>
    </row>
    <row r="20" spans="1:8" ht="16" customHeight="1">
      <c r="A20" s="107"/>
      <c r="B20" s="87"/>
      <c r="C20" s="87"/>
      <c r="D20" s="87"/>
      <c r="E20" s="110"/>
      <c r="F20" s="111">
        <f>E20/EXCHG_RATE</f>
        <v>0</v>
      </c>
    </row>
    <row r="22" spans="1:8" ht="16" customHeight="1">
      <c r="E22" s="165">
        <f>SUM(E16:E17)/1211</f>
        <v>280511.97357555741</v>
      </c>
    </row>
  </sheetData>
  <mergeCells count="5">
    <mergeCell ref="B9:C9"/>
    <mergeCell ref="B10:C10"/>
    <mergeCell ref="B11:C11"/>
    <mergeCell ref="B12:C12"/>
    <mergeCell ref="B13:C13"/>
  </mergeCells>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wirte_DAbriefing">
                <anchor moveWithCells="1" sizeWithCells="1">
                  <from>
                    <xdr:col>1</xdr:col>
                    <xdr:colOff>44450</xdr:colOff>
                    <xdr:row>0</xdr:row>
                    <xdr:rowOff>38100</xdr:rowOff>
                  </from>
                  <to>
                    <xdr:col>1</xdr:col>
                    <xdr:colOff>1466850</xdr:colOff>
                    <xdr:row>1</xdr:row>
                    <xdr:rowOff>88900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D27"/>
  <sheetViews>
    <sheetView zoomScale="70" zoomScaleNormal="70" workbookViewId="0">
      <selection activeCell="B6" sqref="B6"/>
    </sheetView>
  </sheetViews>
  <sheetFormatPr defaultRowHeight="16" customHeight="1"/>
  <cols>
    <col min="1" max="1" width="29.08984375" style="1" customWidth="1"/>
    <col min="2" max="2" width="20.08984375" style="1" customWidth="1"/>
    <col min="3" max="3" width="20.81640625" style="1" customWidth="1"/>
    <col min="4" max="4" width="43.1796875" style="1" customWidth="1"/>
    <col min="5" max="5" width="14.7265625" style="1" customWidth="1"/>
    <col min="6" max="6" width="13.6328125" style="1" customWidth="1"/>
    <col min="7" max="7" width="8.6328125" style="1" customWidth="1"/>
    <col min="8" max="16384" width="8.7265625" style="1"/>
  </cols>
  <sheetData>
    <row r="1" spans="1:4" ht="16" customHeight="1">
      <c r="A1" s="3" t="s">
        <v>235</v>
      </c>
    </row>
    <row r="2" spans="1:4" ht="16" customHeight="1">
      <c r="A2" s="117" t="str">
        <f>IF(OR('Cost simulation'!F5="O",'Cost simulation'!F6="O"),"Local Opinion","No Need for this")</f>
        <v>Local Opinion</v>
      </c>
    </row>
    <row r="3" spans="1:4" ht="16" customHeight="1">
      <c r="A3" s="2" t="s">
        <v>240</v>
      </c>
      <c r="B3" s="33"/>
      <c r="C3" s="50" t="s">
        <v>853</v>
      </c>
      <c r="D3" s="162">
        <v>44781</v>
      </c>
    </row>
    <row r="4" spans="1:4" ht="16" customHeight="1">
      <c r="A4" s="50" t="s">
        <v>236</v>
      </c>
      <c r="B4" s="126" t="str">
        <f>DI.OPPID</f>
        <v>OPE-0014158119</v>
      </c>
      <c r="C4" s="50" t="s">
        <v>241</v>
      </c>
      <c r="D4" s="57" t="s">
        <v>248</v>
      </c>
    </row>
    <row r="5" spans="1:4" ht="16" customHeight="1">
      <c r="A5" s="50" t="s">
        <v>237</v>
      </c>
      <c r="B5" s="301" t="s">
        <v>896</v>
      </c>
      <c r="C5" s="50" t="s">
        <v>242</v>
      </c>
      <c r="D5" s="57" t="s">
        <v>249</v>
      </c>
    </row>
    <row r="6" spans="1:4" ht="16" customHeight="1">
      <c r="A6" s="50" t="s">
        <v>170</v>
      </c>
      <c r="B6" s="60" t="s">
        <v>177</v>
      </c>
      <c r="C6" s="50" t="s">
        <v>243</v>
      </c>
      <c r="D6" s="57" t="s">
        <v>249</v>
      </c>
    </row>
    <row r="7" spans="1:4" ht="16" customHeight="1">
      <c r="A7" s="50" t="s">
        <v>238</v>
      </c>
      <c r="B7" s="60" t="str">
        <f>DI.Customer</f>
        <v>Shinhan Card</v>
      </c>
      <c r="C7" s="50" t="s">
        <v>357</v>
      </c>
      <c r="D7" s="60" t="str">
        <f>DI.ProjectName</f>
        <v>Cloudera infra support</v>
      </c>
    </row>
    <row r="8" spans="1:4" ht="16" customHeight="1">
      <c r="A8" s="50" t="s">
        <v>802</v>
      </c>
      <c r="B8" s="292" t="s">
        <v>894</v>
      </c>
      <c r="C8" s="50"/>
      <c r="D8" s="8"/>
    </row>
    <row r="9" spans="1:4" ht="16" customHeight="1">
      <c r="A9" s="50" t="s">
        <v>854</v>
      </c>
      <c r="B9" s="162">
        <v>44896</v>
      </c>
      <c r="C9" s="50" t="s">
        <v>244</v>
      </c>
      <c r="D9" s="55">
        <f>E3T.TCV_USD</f>
        <v>47583.643122676578</v>
      </c>
    </row>
    <row r="10" spans="1:4" ht="16" customHeight="1">
      <c r="A10" s="50" t="s">
        <v>855</v>
      </c>
      <c r="B10" s="162">
        <v>45046</v>
      </c>
      <c r="C10" s="50" t="s">
        <v>358</v>
      </c>
      <c r="D10" s="56">
        <f>E3T.FLGM</f>
        <v>0.14984848672648221</v>
      </c>
    </row>
    <row r="11" spans="1:4" ht="16" customHeight="1">
      <c r="A11" s="50" t="s">
        <v>246</v>
      </c>
      <c r="B11" s="127">
        <f>DI.ProjectDuration</f>
        <v>2</v>
      </c>
      <c r="C11" s="50" t="s">
        <v>245</v>
      </c>
      <c r="D11" s="57" t="s">
        <v>250</v>
      </c>
    </row>
    <row r="12" spans="1:4" ht="16" customHeight="1">
      <c r="A12" s="50" t="s">
        <v>239</v>
      </c>
      <c r="B12" s="60" t="str">
        <f>DI.PreparedBy</f>
        <v>Her, Il</v>
      </c>
      <c r="C12" s="50" t="s">
        <v>247</v>
      </c>
      <c r="D12" s="60" t="str">
        <f>DI.PreparedBy</f>
        <v>Her, Il</v>
      </c>
    </row>
    <row r="13" spans="1:4" ht="16" customHeight="1">
      <c r="A13" s="2" t="s">
        <v>255</v>
      </c>
    </row>
    <row r="14" spans="1:4" ht="99" customHeight="1">
      <c r="A14" s="50" t="s">
        <v>251</v>
      </c>
      <c r="B14" s="460" t="str">
        <f>DI.REQUIREMENT</f>
        <v>- Upgrade the integrated analysis platform that was built and operated using Cloudera
- This improves customer service by securing system stability and supporting efficient infrastructure operation
- In addition, enahnce service satisfaction and discover new business to strengthen business competitiveness</v>
      </c>
      <c r="C14" s="459"/>
      <c r="D14" s="459"/>
    </row>
    <row r="15" spans="1:4" ht="301.5" customHeight="1">
      <c r="A15" s="70" t="s">
        <v>252</v>
      </c>
      <c r="B15" s="460" t="str">
        <f>'Deal info'!B29&amp;CHAR(10)&amp;'Deal info'!D29
&amp;IF('Deal info'!B30&lt;&gt;"",CHAR(10)&amp;CHAR(10)&amp;'Deal info'!B30&amp;CHAR(10)&amp;'Deal info'!D30
&amp;IF('Deal info'!B31&lt;&gt;"",CHAR(10)&amp;CHAR(10)&amp;'Deal info'!B31&amp;CHAR(10)&amp;'Deal info'!D31
&amp;IF('Deal info'!B32&lt;&gt;"",CHAR(10)&amp;CHAR(10)&amp;'Deal info'!B32&amp;CHAR(10)&amp;'Deal info'!D32
&amp;IF('Deal info'!B33&lt;&gt;"",CHAR(10)&amp;CHAR(10)&amp;'Deal info'!B33&amp;CHAR(10)&amp;'Deal info'!D33))))</f>
        <v>Big data platform upgrade
- CDP 7.x installation
- Data node upgrade and configuring cluster
- Data migration and validation
- Interfacing to Active Directory and applying authentication
Big data business system upgrade
- Interfacing visualization system (Qilk) to the upgraded CDP
- Interfacing Big data portal to the CDP (Login, API interface, etc.)
- ETL upgrade and ETL program transformation/validation
- Data migration (running ETL)
Analysis platform (Kubernetes) upgrade
- Kubernetes cluster upgrade
- Kubernetes cluster migration
- Python standard program/modeller validation
- CDP interfacing and validation
Implementing real-time data collection envrionment
- Kafka cluster implementation for real-time data streaming
- Applying current collection system to the new Kafka clusterFALSE</v>
      </c>
      <c r="C15" s="459"/>
      <c r="D15" s="459"/>
    </row>
    <row r="16" spans="1:4" ht="54" customHeight="1">
      <c r="A16" s="70" t="s">
        <v>253</v>
      </c>
      <c r="B16" s="462" t="s">
        <v>895</v>
      </c>
      <c r="C16" s="463"/>
      <c r="D16" s="463"/>
    </row>
    <row r="17" spans="1:4" ht="55.5" customHeight="1">
      <c r="A17" s="70" t="s">
        <v>254</v>
      </c>
      <c r="B17" s="460" t="str">
        <f>DI.Assumption</f>
        <v>- H/W and S/W will be provided by the customer (another contract)
- Contract with the customer in August but the project will start in December due to the resignation of the person in charge.</v>
      </c>
      <c r="C17" s="459"/>
      <c r="D17" s="459"/>
    </row>
    <row r="18" spans="1:4" ht="16" customHeight="1">
      <c r="A18" s="51" t="s">
        <v>256</v>
      </c>
      <c r="B18" s="121">
        <f>UTIL_HOURS</f>
        <v>144</v>
      </c>
    </row>
    <row r="19" spans="1:4" ht="16" customHeight="1">
      <c r="A19" s="51" t="s">
        <v>257</v>
      </c>
      <c r="B19" s="45"/>
    </row>
    <row r="20" spans="1:4" ht="16" customHeight="1">
      <c r="A20" s="51" t="s">
        <v>258</v>
      </c>
      <c r="B20" s="122">
        <f>B18+B19</f>
        <v>144</v>
      </c>
    </row>
    <row r="21" spans="1:4" ht="16" customHeight="1">
      <c r="A21" s="51" t="s">
        <v>259</v>
      </c>
      <c r="B21" s="45"/>
    </row>
    <row r="22" spans="1:4" ht="16" customHeight="1">
      <c r="A22" s="51" t="s">
        <v>260</v>
      </c>
      <c r="B22" s="45"/>
    </row>
    <row r="23" spans="1:4" ht="16" customHeight="1">
      <c r="A23" s="51" t="s">
        <v>261</v>
      </c>
      <c r="B23" s="74">
        <f>E3T.RISK_USD</f>
        <v>923.66004267657991</v>
      </c>
    </row>
    <row r="24" spans="1:4" ht="16" customHeight="1">
      <c r="A24" s="2" t="s">
        <v>262</v>
      </c>
    </row>
    <row r="25" spans="1:4" ht="37" customHeight="1">
      <c r="A25" s="51" t="s">
        <v>263</v>
      </c>
      <c r="B25" s="457" t="s">
        <v>803</v>
      </c>
      <c r="C25" s="461"/>
      <c r="D25" s="461"/>
    </row>
    <row r="26" spans="1:4" ht="37" customHeight="1">
      <c r="A26" s="51" t="s">
        <v>265</v>
      </c>
      <c r="B26" s="457" t="s">
        <v>805</v>
      </c>
      <c r="C26" s="461"/>
      <c r="D26" s="461"/>
    </row>
    <row r="27" spans="1:4" ht="66.5" customHeight="1">
      <c r="A27" s="70" t="s">
        <v>266</v>
      </c>
      <c r="B27" s="461" t="s">
        <v>804</v>
      </c>
      <c r="C27" s="461"/>
      <c r="D27" s="461"/>
    </row>
  </sheetData>
  <mergeCells count="7">
    <mergeCell ref="B25:D25"/>
    <mergeCell ref="B26:D26"/>
    <mergeCell ref="B27:D27"/>
    <mergeCell ref="B14:D14"/>
    <mergeCell ref="B15:D15"/>
    <mergeCell ref="B16:D16"/>
    <mergeCell ref="B17:D17"/>
  </mergeCells>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8" r:id="rId4" name="Button 2">
              <controlPr defaultSize="0" print="0" autoFill="0" autoPict="0" macro="[0]!write_LocalDO">
                <anchor moveWithCells="1" sizeWithCells="1">
                  <from>
                    <xdr:col>1</xdr:col>
                    <xdr:colOff>38100</xdr:colOff>
                    <xdr:row>0</xdr:row>
                    <xdr:rowOff>44450</xdr:rowOff>
                  </from>
                  <to>
                    <xdr:col>1</xdr:col>
                    <xdr:colOff>1308100</xdr:colOff>
                    <xdr:row>1</xdr:row>
                    <xdr:rowOff>82550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C26"/>
  <sheetViews>
    <sheetView zoomScale="85" zoomScaleNormal="85" workbookViewId="0">
      <selection activeCell="C13" sqref="C13"/>
    </sheetView>
  </sheetViews>
  <sheetFormatPr defaultRowHeight="16" customHeight="1"/>
  <cols>
    <col min="1" max="1" width="30" style="93" customWidth="1"/>
    <col min="2" max="2" width="41.453125" style="93" customWidth="1"/>
    <col min="3" max="3" width="40.1796875" style="93" customWidth="1"/>
    <col min="4" max="16384" width="8.7265625" style="93"/>
  </cols>
  <sheetData>
    <row r="1" spans="1:3" ht="16" customHeight="1">
      <c r="A1" s="3" t="s">
        <v>205</v>
      </c>
    </row>
    <row r="3" spans="1:3" ht="16" customHeight="1">
      <c r="A3" s="94" t="s">
        <v>206</v>
      </c>
      <c r="B3" s="163" t="s">
        <v>897</v>
      </c>
    </row>
    <row r="4" spans="1:3" ht="16" customHeight="1">
      <c r="A4" s="94" t="s">
        <v>87</v>
      </c>
      <c r="B4" s="65" t="str">
        <f>DI.OPPID</f>
        <v>OPE-0014158119</v>
      </c>
    </row>
    <row r="5" spans="1:3" ht="16" customHeight="1">
      <c r="A5" s="94" t="s">
        <v>207</v>
      </c>
      <c r="B5" s="65" t="str">
        <f>DI.EID</f>
        <v>KR3-PCS01.05</v>
      </c>
    </row>
    <row r="6" spans="1:3" ht="16" customHeight="1">
      <c r="A6" s="94" t="s">
        <v>169</v>
      </c>
      <c r="B6" s="62" t="str">
        <f>DI.Customer</f>
        <v>Shinhan Card</v>
      </c>
    </row>
    <row r="7" spans="1:3" ht="16" customHeight="1">
      <c r="A7" s="94" t="s">
        <v>68</v>
      </c>
      <c r="B7" s="62" t="str">
        <f>DI.ProjectName</f>
        <v>Cloudera infra support</v>
      </c>
    </row>
    <row r="8" spans="1:3" ht="16" customHeight="1">
      <c r="A8" s="94" t="s">
        <v>208</v>
      </c>
      <c r="B8" s="62" t="str">
        <f>DI.PreparedBy</f>
        <v>Her, Il</v>
      </c>
    </row>
    <row r="9" spans="1:3" ht="16" customHeight="1">
      <c r="A9" s="94" t="s">
        <v>209</v>
      </c>
      <c r="B9" s="63" t="s">
        <v>92</v>
      </c>
    </row>
    <row r="10" spans="1:3" ht="16" customHeight="1">
      <c r="A10" s="94" t="s">
        <v>210</v>
      </c>
      <c r="B10" s="63" t="s">
        <v>211</v>
      </c>
    </row>
    <row r="11" spans="1:3" ht="16" customHeight="1">
      <c r="A11" s="94" t="s">
        <v>212</v>
      </c>
      <c r="B11" s="64" t="s">
        <v>92</v>
      </c>
    </row>
    <row r="12" spans="1:3" ht="16" customHeight="1">
      <c r="A12" s="100" t="s">
        <v>213</v>
      </c>
      <c r="B12" s="101" t="s">
        <v>214</v>
      </c>
      <c r="C12" s="101" t="s">
        <v>215</v>
      </c>
    </row>
    <row r="13" spans="1:3" ht="75" customHeight="1">
      <c r="A13" s="95" t="s">
        <v>216</v>
      </c>
      <c r="B13" s="96" t="s">
        <v>903</v>
      </c>
      <c r="C13" s="96" t="s">
        <v>217</v>
      </c>
    </row>
    <row r="14" spans="1:3" ht="16" customHeight="1">
      <c r="A14" s="100" t="s">
        <v>218</v>
      </c>
      <c r="B14" s="101" t="s">
        <v>214</v>
      </c>
      <c r="C14" s="102" t="s">
        <v>215</v>
      </c>
    </row>
    <row r="15" spans="1:3" ht="76.5" customHeight="1">
      <c r="A15" s="95" t="s">
        <v>219</v>
      </c>
      <c r="B15" s="105" t="s">
        <v>903</v>
      </c>
      <c r="C15" s="98" t="s">
        <v>220</v>
      </c>
    </row>
    <row r="16" spans="1:3" ht="16" customHeight="1">
      <c r="A16" s="100" t="s">
        <v>221</v>
      </c>
      <c r="B16" s="101" t="s">
        <v>214</v>
      </c>
      <c r="C16" s="104" t="s">
        <v>215</v>
      </c>
    </row>
    <row r="17" spans="1:3" ht="72.5" customHeight="1">
      <c r="A17" s="95" t="s">
        <v>222</v>
      </c>
      <c r="B17" s="96" t="s">
        <v>223</v>
      </c>
      <c r="C17" s="96" t="s">
        <v>224</v>
      </c>
    </row>
    <row r="18" spans="1:3" ht="16" customHeight="1">
      <c r="A18" s="100" t="s">
        <v>225</v>
      </c>
      <c r="B18" s="102" t="s">
        <v>214</v>
      </c>
      <c r="C18" s="102" t="s">
        <v>215</v>
      </c>
    </row>
    <row r="19" spans="1:3" ht="78.5" customHeight="1">
      <c r="A19" s="97" t="s">
        <v>226</v>
      </c>
      <c r="B19" s="85" t="s">
        <v>903</v>
      </c>
      <c r="C19" s="98" t="s">
        <v>899</v>
      </c>
    </row>
    <row r="20" spans="1:3" ht="16" customHeight="1">
      <c r="A20" s="100" t="s">
        <v>227</v>
      </c>
      <c r="B20" s="103" t="s">
        <v>214</v>
      </c>
      <c r="C20" s="103" t="s">
        <v>898</v>
      </c>
    </row>
    <row r="21" spans="1:3" ht="75" customHeight="1">
      <c r="A21" s="97" t="s">
        <v>228</v>
      </c>
      <c r="B21" s="98" t="s">
        <v>903</v>
      </c>
      <c r="C21" s="98" t="s">
        <v>900</v>
      </c>
    </row>
    <row r="22" spans="1:3" ht="78.5" customHeight="1">
      <c r="A22" s="97" t="s">
        <v>229</v>
      </c>
      <c r="B22" s="98" t="s">
        <v>223</v>
      </c>
      <c r="C22" s="98" t="s">
        <v>901</v>
      </c>
    </row>
    <row r="23" spans="1:3" ht="16" customHeight="1">
      <c r="A23" s="100" t="s">
        <v>230</v>
      </c>
      <c r="B23" s="104" t="s">
        <v>214</v>
      </c>
      <c r="C23" s="104" t="s">
        <v>215</v>
      </c>
    </row>
    <row r="24" spans="1:3" ht="72.5" customHeight="1">
      <c r="A24" s="95" t="s">
        <v>231</v>
      </c>
      <c r="B24" s="96" t="s">
        <v>903</v>
      </c>
      <c r="C24" s="96" t="s">
        <v>564</v>
      </c>
    </row>
    <row r="25" spans="1:3" ht="71.5" customHeight="1">
      <c r="A25" s="95" t="s">
        <v>232</v>
      </c>
      <c r="B25" s="96" t="s">
        <v>903</v>
      </c>
      <c r="C25" s="98" t="s">
        <v>902</v>
      </c>
    </row>
    <row r="26" spans="1:3" ht="83.5" customHeight="1">
      <c r="A26" s="95" t="s">
        <v>233</v>
      </c>
      <c r="B26" s="99" t="s">
        <v>904</v>
      </c>
      <c r="C26" s="99" t="s">
        <v>234</v>
      </c>
    </row>
  </sheetData>
  <phoneticPr fontId="1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3" r:id="rId3" name="Button 1">
              <controlPr defaultSize="0" print="0" autoFill="0" autoPict="0" macro="[0]!write_SAOpinion">
                <anchor moveWithCells="1" sizeWithCells="1">
                  <from>
                    <xdr:col>1</xdr:col>
                    <xdr:colOff>1428750</xdr:colOff>
                    <xdr:row>0</xdr:row>
                    <xdr:rowOff>69850</xdr:rowOff>
                  </from>
                  <to>
                    <xdr:col>1</xdr:col>
                    <xdr:colOff>2825750</xdr:colOff>
                    <xdr:row>1</xdr:row>
                    <xdr:rowOff>120650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D47"/>
  <sheetViews>
    <sheetView zoomScale="85" zoomScaleNormal="85" workbookViewId="0">
      <selection activeCell="D17" sqref="D17"/>
    </sheetView>
  </sheetViews>
  <sheetFormatPr defaultRowHeight="16" customHeight="1"/>
  <cols>
    <col min="1" max="1" width="27.6328125" style="1" customWidth="1"/>
    <col min="2" max="2" width="20.90625" style="1" customWidth="1"/>
    <col min="3" max="3" width="28" style="1" customWidth="1"/>
    <col min="4" max="4" width="29.26953125" style="1" customWidth="1"/>
    <col min="5" max="16384" width="8.7265625" style="1"/>
  </cols>
  <sheetData>
    <row r="1" spans="1:4" ht="16" customHeight="1">
      <c r="A1" s="3" t="s">
        <v>360</v>
      </c>
    </row>
    <row r="3" spans="1:4" ht="16" customHeight="1">
      <c r="A3" s="86" t="s">
        <v>361</v>
      </c>
      <c r="B3" s="67" t="str">
        <f>DI.PreparedBy</f>
        <v>Her, Il</v>
      </c>
      <c r="C3" s="86" t="s">
        <v>379</v>
      </c>
      <c r="D3" s="77">
        <f>SFDC.SOAR_DATE</f>
        <v>44789</v>
      </c>
    </row>
    <row r="4" spans="1:4" ht="16" customHeight="1">
      <c r="A4" s="86" t="s">
        <v>362</v>
      </c>
      <c r="B4" s="67" t="str">
        <f>DI.OPPID</f>
        <v>OPE-0014158119</v>
      </c>
      <c r="C4" s="86" t="s">
        <v>381</v>
      </c>
      <c r="D4" s="76">
        <v>44790</v>
      </c>
    </row>
    <row r="5" spans="1:4" ht="16" customHeight="1">
      <c r="A5" s="86" t="s">
        <v>363</v>
      </c>
      <c r="B5" s="67" t="str">
        <f>DI.ProjectName</f>
        <v>Cloudera infra support</v>
      </c>
      <c r="C5" s="86" t="s">
        <v>380</v>
      </c>
      <c r="D5" s="67">
        <f>DI.ProjectDuration</f>
        <v>2</v>
      </c>
    </row>
    <row r="6" spans="1:4" ht="16" customHeight="1">
      <c r="A6" s="86" t="s">
        <v>364</v>
      </c>
      <c r="B6" s="87" t="s">
        <v>865</v>
      </c>
      <c r="C6" s="86" t="s">
        <v>382</v>
      </c>
      <c r="D6" s="77">
        <f>DI.StartDate</f>
        <v>44896</v>
      </c>
    </row>
    <row r="7" spans="1:4" ht="16" customHeight="1">
      <c r="A7" s="86" t="s">
        <v>365</v>
      </c>
      <c r="B7" s="67" t="str">
        <f>DI.Customer</f>
        <v>Shinhan Card</v>
      </c>
      <c r="C7" s="2"/>
    </row>
    <row r="8" spans="1:4" ht="16" customHeight="1">
      <c r="A8" s="86" t="s">
        <v>366</v>
      </c>
      <c r="B8" s="78" t="s">
        <v>391</v>
      </c>
      <c r="C8" s="86" t="s">
        <v>378</v>
      </c>
      <c r="D8" s="78" t="s">
        <v>553</v>
      </c>
    </row>
    <row r="9" spans="1:4" ht="16" customHeight="1">
      <c r="A9" s="86" t="s">
        <v>367</v>
      </c>
      <c r="B9" s="78" t="s">
        <v>422</v>
      </c>
      <c r="C9" s="86" t="s">
        <v>193</v>
      </c>
      <c r="D9" s="66" t="s">
        <v>399</v>
      </c>
    </row>
    <row r="10" spans="1:4" ht="16" customHeight="1">
      <c r="A10" s="86" t="s">
        <v>368</v>
      </c>
      <c r="B10" s="78" t="s">
        <v>423</v>
      </c>
      <c r="C10" s="86" t="s">
        <v>383</v>
      </c>
      <c r="D10" s="66" t="s">
        <v>391</v>
      </c>
    </row>
    <row r="11" spans="1:4" ht="16" customHeight="1">
      <c r="A11" s="86" t="s">
        <v>369</v>
      </c>
      <c r="B11" s="66" t="s">
        <v>392</v>
      </c>
      <c r="C11" s="86" t="s">
        <v>384</v>
      </c>
      <c r="D11" s="66" t="s">
        <v>400</v>
      </c>
    </row>
    <row r="12" spans="1:4" ht="16" customHeight="1">
      <c r="A12" s="86" t="s">
        <v>370</v>
      </c>
      <c r="B12" s="66" t="s">
        <v>248</v>
      </c>
      <c r="C12" s="86" t="s">
        <v>385</v>
      </c>
      <c r="D12" s="44" t="s">
        <v>408</v>
      </c>
    </row>
    <row r="13" spans="1:4" ht="16" customHeight="1">
      <c r="A13" s="86" t="s">
        <v>371</v>
      </c>
      <c r="B13" s="66" t="s">
        <v>177</v>
      </c>
      <c r="C13" s="86" t="s">
        <v>386</v>
      </c>
      <c r="D13" s="78" t="s">
        <v>411</v>
      </c>
    </row>
    <row r="14" spans="1:4" ht="16" customHeight="1">
      <c r="A14" s="86" t="s">
        <v>372</v>
      </c>
      <c r="B14" s="78" t="s">
        <v>203</v>
      </c>
      <c r="C14" s="86" t="s">
        <v>387</v>
      </c>
      <c r="D14" s="66" t="s">
        <v>400</v>
      </c>
    </row>
    <row r="15" spans="1:4" ht="16" customHeight="1">
      <c r="A15" s="86" t="s">
        <v>373</v>
      </c>
      <c r="B15" s="78" t="s">
        <v>424</v>
      </c>
      <c r="C15" s="108" t="s">
        <v>425</v>
      </c>
      <c r="D15" s="44" t="s">
        <v>408</v>
      </c>
    </row>
    <row r="16" spans="1:4" ht="16" customHeight="1">
      <c r="A16" s="86" t="s">
        <v>374</v>
      </c>
      <c r="B16" s="109" t="s">
        <v>905</v>
      </c>
      <c r="C16" s="108" t="s">
        <v>387</v>
      </c>
      <c r="D16" s="78" t="s">
        <v>418</v>
      </c>
    </row>
    <row r="17" spans="1:4" ht="44" customHeight="1">
      <c r="A17" s="86" t="s">
        <v>375</v>
      </c>
      <c r="B17" s="78" t="s">
        <v>394</v>
      </c>
      <c r="C17" s="86" t="s">
        <v>388</v>
      </c>
      <c r="D17" s="147" t="s">
        <v>908</v>
      </c>
    </row>
    <row r="18" spans="1:4" ht="16" customHeight="1">
      <c r="A18" s="86" t="s">
        <v>376</v>
      </c>
      <c r="B18" s="109"/>
      <c r="C18" s="86" t="s">
        <v>389</v>
      </c>
      <c r="D18" s="73">
        <f>E3T.TCV_USD</f>
        <v>47583.643122676578</v>
      </c>
    </row>
    <row r="19" spans="1:4" ht="16" customHeight="1">
      <c r="A19" s="86" t="s">
        <v>207</v>
      </c>
      <c r="B19" s="67" t="str">
        <f>DI.EID</f>
        <v>KR3-PCS01.05</v>
      </c>
      <c r="C19" s="86" t="s">
        <v>390</v>
      </c>
      <c r="D19" s="68">
        <f>E3T.FLGM</f>
        <v>0.14984848672648221</v>
      </c>
    </row>
    <row r="20" spans="1:4" ht="16" customHeight="1">
      <c r="C20" s="2"/>
    </row>
    <row r="21" spans="1:4" ht="87.5" customHeight="1">
      <c r="A21" s="70" t="s">
        <v>377</v>
      </c>
      <c r="B21" s="464" t="str">
        <f>'DA briefing'!B9:C9</f>
        <v>- Upgrade the integrated analysis platform that was built and operated using Cloudera
- This improves customer service by securing system stability and supporting efficient infrastructure operation
- In addition, enahnce service satisfaction and discover new business to strengthen business competitiveness</v>
      </c>
      <c r="C21" s="464"/>
    </row>
    <row r="23" spans="1:4" ht="16" customHeight="1">
      <c r="A23" s="282" t="s">
        <v>806</v>
      </c>
      <c r="B23" s="78" t="s">
        <v>424</v>
      </c>
    </row>
    <row r="24" spans="1:4" ht="16" customHeight="1">
      <c r="A24" s="282" t="s">
        <v>818</v>
      </c>
      <c r="B24" s="78" t="s">
        <v>424</v>
      </c>
    </row>
    <row r="26" spans="1:4" ht="16" customHeight="1">
      <c r="A26" s="2" t="s">
        <v>807</v>
      </c>
    </row>
    <row r="27" spans="1:4" ht="16" customHeight="1">
      <c r="A27" s="282" t="s">
        <v>808</v>
      </c>
      <c r="B27" s="78" t="s">
        <v>424</v>
      </c>
    </row>
    <row r="28" spans="1:4" ht="16" customHeight="1">
      <c r="A28" s="282" t="s">
        <v>809</v>
      </c>
      <c r="B28" s="78" t="s">
        <v>906</v>
      </c>
    </row>
    <row r="29" spans="1:4" ht="16" customHeight="1">
      <c r="A29" s="282" t="s">
        <v>819</v>
      </c>
      <c r="B29" s="78" t="s">
        <v>907</v>
      </c>
    </row>
    <row r="30" spans="1:4" ht="16" customHeight="1">
      <c r="A30" s="282" t="s">
        <v>810</v>
      </c>
      <c r="B30" s="78" t="s">
        <v>424</v>
      </c>
    </row>
    <row r="31" spans="1:4" ht="16" customHeight="1">
      <c r="A31" s="282" t="s">
        <v>820</v>
      </c>
      <c r="B31" s="78" t="s">
        <v>906</v>
      </c>
    </row>
    <row r="33" spans="1:2" ht="16" customHeight="1">
      <c r="A33" s="2" t="s">
        <v>811</v>
      </c>
    </row>
    <row r="34" spans="1:2" ht="16" customHeight="1">
      <c r="A34" s="282" t="s">
        <v>821</v>
      </c>
      <c r="B34" s="78" t="s">
        <v>906</v>
      </c>
    </row>
    <row r="35" spans="1:2" ht="16" customHeight="1">
      <c r="A35" s="282" t="s">
        <v>822</v>
      </c>
      <c r="B35" s="78" t="s">
        <v>424</v>
      </c>
    </row>
    <row r="36" spans="1:2" ht="16" customHeight="1">
      <c r="A36" s="282" t="s">
        <v>823</v>
      </c>
      <c r="B36" s="78" t="s">
        <v>424</v>
      </c>
    </row>
    <row r="37" spans="1:2" ht="16" customHeight="1">
      <c r="A37" s="282" t="s">
        <v>824</v>
      </c>
      <c r="B37" s="78" t="s">
        <v>906</v>
      </c>
    </row>
    <row r="38" spans="1:2" ht="16" customHeight="1">
      <c r="A38" s="282" t="s">
        <v>825</v>
      </c>
      <c r="B38" s="78" t="s">
        <v>391</v>
      </c>
    </row>
    <row r="39" spans="1:2" ht="16" customHeight="1">
      <c r="A39" s="282" t="s">
        <v>826</v>
      </c>
      <c r="B39" s="78" t="s">
        <v>424</v>
      </c>
    </row>
    <row r="40" spans="1:2" ht="16" customHeight="1">
      <c r="A40" s="282" t="s">
        <v>812</v>
      </c>
      <c r="B40" s="78" t="s">
        <v>424</v>
      </c>
    </row>
    <row r="42" spans="1:2" ht="16" customHeight="1">
      <c r="A42" s="2" t="s">
        <v>813</v>
      </c>
    </row>
    <row r="43" spans="1:2" ht="16" customHeight="1">
      <c r="A43" s="282" t="s">
        <v>814</v>
      </c>
      <c r="B43" s="78" t="s">
        <v>906</v>
      </c>
    </row>
    <row r="44" spans="1:2" ht="16" customHeight="1">
      <c r="A44" s="282" t="s">
        <v>815</v>
      </c>
      <c r="B44" s="78" t="s">
        <v>424</v>
      </c>
    </row>
    <row r="45" spans="1:2" ht="16" customHeight="1">
      <c r="A45" s="282" t="s">
        <v>816</v>
      </c>
      <c r="B45" s="78" t="s">
        <v>906</v>
      </c>
    </row>
    <row r="46" spans="1:2" ht="16" customHeight="1">
      <c r="A46" s="282" t="s">
        <v>817</v>
      </c>
      <c r="B46" s="78" t="s">
        <v>424</v>
      </c>
    </row>
    <row r="47" spans="1:2" ht="16" customHeight="1">
      <c r="A47" s="282" t="s">
        <v>827</v>
      </c>
      <c r="B47" s="78" t="s">
        <v>906</v>
      </c>
    </row>
  </sheetData>
  <mergeCells count="1">
    <mergeCell ref="B21:C21"/>
  </mergeCells>
  <phoneticPr fontId="13" type="noConversion"/>
  <dataValidations count="6">
    <dataValidation type="list" allowBlank="1" showInputMessage="1" showErrorMessage="1" sqref="B8">
      <formula1>"Yes,No"</formula1>
    </dataValidation>
    <dataValidation type="list" allowBlank="1" showInputMessage="1" showErrorMessage="1" sqref="B9">
      <formula1>"Private Sector,Public Sector,Semi-public"</formula1>
    </dataValidation>
    <dataValidation type="list" allowBlank="1" showInputMessage="1" showErrorMessage="1" sqref="B10">
      <formula1>"New,Renewal,Change"</formula1>
    </dataValidation>
    <dataValidation type="list" allowBlank="1" showInputMessage="1" showErrorMessage="1" sqref="B14">
      <formula1>"Binding,Non-Binding"</formula1>
    </dataValidation>
    <dataValidation type="list" allowBlank="1" showInputMessage="1" showErrorMessage="1" sqref="B15 B43:B47 B27:B31 B34:B40 B23:B24">
      <formula1>"No,Yes"</formula1>
    </dataValidation>
    <dataValidation type="list" allowBlank="1" showInputMessage="1" showErrorMessage="1" sqref="D8">
      <formula1>"Standard T&amp;C,Non standard T&amp;C"</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8" r:id="rId4" name="Button 8">
              <controlPr defaultSize="0" print="0" autoFill="0" autoPict="0" macro="[0]!write_DealEngagement">
                <anchor moveWithCells="1" sizeWithCells="1">
                  <from>
                    <xdr:col>1</xdr:col>
                    <xdr:colOff>57150</xdr:colOff>
                    <xdr:row>0</xdr:row>
                    <xdr:rowOff>38100</xdr:rowOff>
                  </from>
                  <to>
                    <xdr:col>1</xdr:col>
                    <xdr:colOff>1822450</xdr:colOff>
                    <xdr:row>1</xdr:row>
                    <xdr:rowOff>101600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14:formula1>
            <xm:f>'Meta data'!$E$29:$E$33</xm:f>
          </x14:formula1>
          <xm:sqref>B17</xm:sqref>
        </x14:dataValidation>
        <x14:dataValidation type="list" allowBlank="1" showInputMessage="1" showErrorMessage="1">
          <x14:formula1>
            <xm:f>'Meta data'!$I$28:$I$35</xm:f>
          </x14:formula1>
          <xm:sqref>D12 D15</xm:sqref>
        </x14:dataValidation>
        <x14:dataValidation type="list" allowBlank="1" showInputMessage="1" showErrorMessage="1">
          <x14:formula1>
            <xm:f>'Meta data'!$E$36:$E$40</xm:f>
          </x14:formula1>
          <xm:sqref>D13</xm:sqref>
        </x14:dataValidation>
        <x14:dataValidation type="list" allowBlank="1" showInputMessage="1" showErrorMessage="1">
          <x14:formula1>
            <xm:f>'Meta data'!$I$38:$I$43</xm:f>
          </x14:formula1>
          <xm:sqref>D16</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G14"/>
  <sheetViews>
    <sheetView zoomScale="85" zoomScaleNormal="85" workbookViewId="0">
      <selection activeCell="K11" sqref="K11"/>
    </sheetView>
  </sheetViews>
  <sheetFormatPr defaultRowHeight="16" customHeight="1"/>
  <cols>
    <col min="1" max="1" width="30.6328125" style="1" customWidth="1"/>
    <col min="2" max="2" width="52.36328125" style="1" customWidth="1"/>
    <col min="3" max="5" width="8.7265625" style="1"/>
    <col min="6" max="6" width="12.6328125" style="1" bestFit="1" customWidth="1"/>
    <col min="7" max="7" width="11.54296875" style="1" bestFit="1" customWidth="1"/>
    <col min="8" max="16384" width="8.7265625" style="1"/>
  </cols>
  <sheetData>
    <row r="1" spans="1:7" ht="16" customHeight="1">
      <c r="A1" s="3" t="s">
        <v>426</v>
      </c>
    </row>
    <row r="3" spans="1:7" ht="16" customHeight="1">
      <c r="A3" s="108" t="s">
        <v>437</v>
      </c>
      <c r="B3" s="67" t="str">
        <f>DI.OPPID &amp; " " &amp; DI.Customer &amp; " " &amp; DI.ProjectName</f>
        <v>OPE-0014158119 Shinhan Card Cloudera infra support</v>
      </c>
    </row>
    <row r="4" spans="1:7" ht="16" customHeight="1">
      <c r="A4" s="108" t="s">
        <v>427</v>
      </c>
      <c r="B4" s="67" t="str">
        <f>'DA briefing'!A16 &amp; ", " &amp; 'DA briefing'!A17 &amp; ", " &amp; 'DA briefing'!A18 &amp; ", " &amp; 'DA briefing'!A19 &amp; ", " &amp; 'DA briefing'!A20</f>
        <v xml:space="preserve">GiT, DawinICT, , , </v>
      </c>
    </row>
    <row r="5" spans="1:7" ht="16" customHeight="1">
      <c r="A5" s="108" t="s">
        <v>428</v>
      </c>
      <c r="B5" s="67" t="str">
        <f>"from " &amp; TEXT(DI.StartDate, "yyyy-mm-dd") &amp; " to " &amp; TEXT(DI.EndDate, "yyyy-mm-dd")</f>
        <v>from 2022-12-01 to 2023-01-31</v>
      </c>
    </row>
    <row r="6" spans="1:7" ht="16" customHeight="1">
      <c r="A6" s="108" t="s">
        <v>429</v>
      </c>
      <c r="B6" s="109" t="s">
        <v>909</v>
      </c>
      <c r="F6" s="4"/>
      <c r="G6" s="4"/>
    </row>
    <row r="7" spans="1:7" ht="28.5" customHeight="1">
      <c r="A7" s="70" t="s">
        <v>430</v>
      </c>
      <c r="B7" s="111">
        <f>SUM('DA briefing'!F16:F20)</f>
        <v>252565.05576208179</v>
      </c>
    </row>
    <row r="9" spans="1:7" ht="16" customHeight="1">
      <c r="A9" s="108" t="s">
        <v>431</v>
      </c>
      <c r="B9" s="67" t="str">
        <f>"3rd parties: " &amp;B4</f>
        <v xml:space="preserve">3rd parties: GiT, DawinICT, , , </v>
      </c>
    </row>
    <row r="10" spans="1:7" ht="209" customHeight="1">
      <c r="A10" s="108" t="s">
        <v>432</v>
      </c>
      <c r="B10" s="116" t="str">
        <f xml:space="preserve"> "[" &amp; 'DA briefing'!A16 &amp; "]" &amp; CHAR(10) &amp; CHAR(10) &amp; "1. Service:" &amp; CHAR(10) &amp; CHAR(10) &amp; 'DA briefing'!B16 &amp; CHAR(10) &amp; CHAR(10) &amp; "2. Reason to included:" &amp; CHAR(10) &amp; CHAR(10) &amp;'DA briefing'!C16</f>
        <v>[GiT]
1. Service:
- Big data platform(CDP) upgrade
- Interfacing Big data portal to the CDP
- Kafka cluster implementation for real-time dat streaming
2. Reason to included:
- Implemented this Big data platform with HPE in 2018.
- Formal distributor of Cloudera in charge of Shinhan Finance Group in Korea</v>
      </c>
    </row>
    <row r="11" spans="1:7" ht="215.5" customHeight="1">
      <c r="A11" s="108" t="s">
        <v>433</v>
      </c>
      <c r="B11" s="116" t="str">
        <f xml:space="preserve"> "[" &amp; 'DA briefing'!A17 &amp; "]" &amp; CHAR(10) &amp; CHAR(10) &amp; "1. Service:" &amp; CHAR(10) &amp; CHAR(10) &amp; 'DA briefing'!B17 &amp; CHAR(10) &amp; CHAR(10) &amp; "2. Reason to included:" &amp; CHAR(10) &amp; CHAR(10) &amp;'DA briefing'!C17</f>
        <v>[DawinICT]
1. Service:
- Analysis platform (Kubernetes) upgrade
- Applying current collection system to the new Kafka cluster
(by subcontractor DataStreams)
- Interfacing visualization system (Qilk)
- ETL upgrade
- Data migration (running ETL)
2. Reason to included:
- Implemented this Big data platform with HPE in 2018.
- Has much experience in working with HPE in various projects and has a good reputation in enterprise IT field
- Subcontractor DataStreams is the formall distributor of Qilk in charge of Shinhan Finance Group</v>
      </c>
    </row>
    <row r="12" spans="1:7" ht="188.5" customHeight="1">
      <c r="A12" s="108" t="s">
        <v>434</v>
      </c>
      <c r="B12" s="116" t="str">
        <f xml:space="preserve"> "[" &amp; 'DA briefing'!A18 &amp; "]" &amp; CHAR(10) &amp; CHAR(10) &amp; "1. Service:" &amp; CHAR(10) &amp; CHAR(10) &amp; 'DA briefing'!B18 &amp; CHAR(10) &amp; CHAR(10) &amp; "2. Reason to included:" &amp; CHAR(10) &amp; CHAR(10) &amp;'DA briefing'!C18</f>
        <v xml:space="preserve">[]
1. Service:
2. Reason to included:
</v>
      </c>
    </row>
    <row r="13" spans="1:7" ht="116.5" customHeight="1">
      <c r="A13" s="108" t="s">
        <v>435</v>
      </c>
      <c r="B13" s="116" t="str">
        <f xml:space="preserve"> "[" &amp; 'DA briefing'!A19 &amp; "]" &amp; CHAR(10) &amp; CHAR(10) &amp; "1. Service:" &amp; CHAR(10) &amp; CHAR(10) &amp; 'DA briefing'!B19 &amp; CHAR(10) &amp; CHAR(10) &amp; "2. Reason to included:" &amp; CHAR(10) &amp; CHAR(10) &amp;'DA briefing'!C19</f>
        <v xml:space="preserve">[]
1. Service:
2. Reason to included:
</v>
      </c>
    </row>
    <row r="14" spans="1:7" ht="116.5" customHeight="1">
      <c r="A14" s="108" t="s">
        <v>436</v>
      </c>
      <c r="B14" s="116" t="str">
        <f xml:space="preserve"> "[" &amp; 'DA briefing'!A20 &amp; "]" &amp; CHAR(10) &amp; CHAR(10) &amp; "1. Service:" &amp; CHAR(10) &amp; CHAR(10) &amp; 'DA briefing'!B20 &amp; CHAR(10) &amp; CHAR(10) &amp; "2. Reason to included:" &amp; CHAR(10) &amp; CHAR(10) &amp;'DA briefing'!C20</f>
        <v xml:space="preserve">[]
1. Service:
2. Reason to included:
</v>
      </c>
    </row>
  </sheetData>
  <phoneticPr fontId="1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1"/>
  <dimension ref="A1:G35"/>
  <sheetViews>
    <sheetView topLeftCell="A10" workbookViewId="0">
      <selection activeCell="F5" sqref="F5"/>
    </sheetView>
  </sheetViews>
  <sheetFormatPr defaultRowHeight="16" customHeight="1"/>
  <cols>
    <col min="1" max="1" width="21.54296875" style="1" customWidth="1"/>
    <col min="2" max="2" width="23.08984375" style="1" customWidth="1"/>
    <col min="3" max="3" width="4.6328125" style="1" customWidth="1"/>
    <col min="4" max="4" width="22.81640625" style="1" customWidth="1"/>
    <col min="5" max="5" width="13.1796875" style="1" customWidth="1"/>
    <col min="6" max="6" width="39" style="1" customWidth="1"/>
    <col min="7" max="7" width="67.453125" style="1" customWidth="1"/>
    <col min="8" max="16384" width="8.7265625" style="1"/>
  </cols>
  <sheetData>
    <row r="1" spans="1:7" ht="16" customHeight="1">
      <c r="A1" s="3" t="s">
        <v>690</v>
      </c>
    </row>
    <row r="3" spans="1:7" ht="16" customHeight="1">
      <c r="A3" s="259" t="s">
        <v>439</v>
      </c>
      <c r="B3" s="60" t="str">
        <f>DI.OPPID</f>
        <v>OPE-0014158119</v>
      </c>
      <c r="D3" s="260" t="s">
        <v>695</v>
      </c>
      <c r="E3" s="266">
        <f>DI.ProjectDuration</f>
        <v>2</v>
      </c>
    </row>
    <row r="4" spans="1:7" ht="16" customHeight="1">
      <c r="A4" s="259" t="s">
        <v>691</v>
      </c>
      <c r="B4" s="78" t="s">
        <v>423</v>
      </c>
      <c r="D4" s="260" t="s">
        <v>696</v>
      </c>
      <c r="E4" s="262"/>
    </row>
    <row r="5" spans="1:7" ht="16" customHeight="1">
      <c r="A5" s="259" t="s">
        <v>169</v>
      </c>
      <c r="B5" s="60" t="str">
        <f>DI.Customer</f>
        <v>Shinhan Card</v>
      </c>
      <c r="D5" s="260" t="s">
        <v>707</v>
      </c>
      <c r="E5" s="262" t="s">
        <v>552</v>
      </c>
    </row>
    <row r="6" spans="1:7" ht="16" customHeight="1">
      <c r="A6" s="260" t="s">
        <v>694</v>
      </c>
      <c r="B6" s="263">
        <f>E3T.TCV</f>
        <v>64000000</v>
      </c>
      <c r="D6" s="272" t="s">
        <v>708</v>
      </c>
      <c r="E6" s="273">
        <v>44783</v>
      </c>
    </row>
    <row r="7" spans="1:7" ht="16" customHeight="1">
      <c r="A7" s="260" t="s">
        <v>693</v>
      </c>
      <c r="B7" s="264">
        <f>E3T.TCV_USD</f>
        <v>47583.643122676578</v>
      </c>
      <c r="D7" s="267" t="s">
        <v>712</v>
      </c>
      <c r="E7" s="78" t="s">
        <v>717</v>
      </c>
    </row>
    <row r="8" spans="1:7" ht="16" customHeight="1">
      <c r="A8" s="260" t="s">
        <v>1</v>
      </c>
      <c r="B8" s="265">
        <f>E3T.FLGM</f>
        <v>0.14984848672648221</v>
      </c>
      <c r="D8" s="267" t="s">
        <v>710</v>
      </c>
      <c r="E8" s="78" t="s">
        <v>717</v>
      </c>
    </row>
    <row r="9" spans="1:7" ht="16" customHeight="1">
      <c r="A9" s="260" t="s">
        <v>70</v>
      </c>
      <c r="B9" s="265">
        <f>E3T.EGM</f>
        <v>0.33354560410312506</v>
      </c>
      <c r="D9" s="267" t="s">
        <v>711</v>
      </c>
      <c r="E9" s="78" t="s">
        <v>717</v>
      </c>
    </row>
    <row r="10" spans="1:7" ht="16" customHeight="1">
      <c r="A10" s="1" t="s">
        <v>919</v>
      </c>
      <c r="B10" s="1">
        <v>2174</v>
      </c>
    </row>
    <row r="11" spans="1:7" ht="30" customHeight="1">
      <c r="A11" s="466" t="s">
        <v>709</v>
      </c>
      <c r="B11" s="466"/>
      <c r="D11" s="469" t="str">
        <f>'Deal info'!B27</f>
        <v>- This project is to upgrade the customer's integrated analysis platform that was built and operated using Cloudera</v>
      </c>
      <c r="E11" s="470"/>
      <c r="F11" s="471"/>
    </row>
    <row r="12" spans="1:7" ht="62" customHeight="1">
      <c r="A12" s="466" t="s">
        <v>713</v>
      </c>
      <c r="B12" s="466"/>
      <c r="D12" s="472" t="s">
        <v>864</v>
      </c>
      <c r="E12" s="473"/>
      <c r="F12" s="474"/>
    </row>
    <row r="13" spans="1:7" ht="16" customHeight="1">
      <c r="A13" s="466" t="s">
        <v>714</v>
      </c>
      <c r="B13" s="466"/>
      <c r="D13" s="475"/>
      <c r="E13" s="476"/>
      <c r="F13" s="476"/>
    </row>
    <row r="14" spans="1:7" ht="16" customHeight="1">
      <c r="A14" s="465"/>
      <c r="B14" s="465"/>
      <c r="D14" s="465"/>
      <c r="E14" s="465"/>
      <c r="F14" s="465"/>
    </row>
    <row r="15" spans="1:7" ht="16" customHeight="1">
      <c r="A15" s="466" t="s">
        <v>702</v>
      </c>
      <c r="B15" s="466"/>
      <c r="C15" s="268" t="s">
        <v>703</v>
      </c>
      <c r="D15" s="466" t="s">
        <v>95</v>
      </c>
      <c r="E15" s="466"/>
      <c r="F15" s="466"/>
      <c r="G15" s="270" t="s">
        <v>705</v>
      </c>
    </row>
    <row r="16" spans="1:7" ht="61" customHeight="1">
      <c r="A16" s="479" t="s">
        <v>697</v>
      </c>
      <c r="B16" s="479"/>
      <c r="C16" s="271" t="s">
        <v>721</v>
      </c>
      <c r="D16" s="467" t="s">
        <v>715</v>
      </c>
      <c r="E16" s="467"/>
      <c r="F16" s="467"/>
      <c r="G16" s="274" t="s">
        <v>720</v>
      </c>
    </row>
    <row r="17" spans="1:7" ht="106" customHeight="1">
      <c r="A17" s="479" t="s">
        <v>698</v>
      </c>
      <c r="B17" s="479"/>
      <c r="C17" s="276" t="s">
        <v>391</v>
      </c>
      <c r="D17" s="468" t="s">
        <v>722</v>
      </c>
      <c r="E17" s="467"/>
      <c r="F17" s="467"/>
      <c r="G17" s="274" t="s">
        <v>920</v>
      </c>
    </row>
    <row r="18" spans="1:7" ht="33" customHeight="1">
      <c r="A18" s="479" t="s">
        <v>699</v>
      </c>
      <c r="B18" s="479"/>
      <c r="C18" s="271" t="s">
        <v>424</v>
      </c>
      <c r="D18" s="467"/>
      <c r="E18" s="467"/>
      <c r="F18" s="467"/>
      <c r="G18" s="261"/>
    </row>
    <row r="19" spans="1:7" ht="46.5" customHeight="1">
      <c r="A19" s="479" t="s">
        <v>700</v>
      </c>
      <c r="B19" s="479"/>
      <c r="C19" s="271" t="s">
        <v>424</v>
      </c>
      <c r="D19" s="468" t="s">
        <v>856</v>
      </c>
      <c r="E19" s="468"/>
      <c r="F19" s="468"/>
      <c r="G19" s="297" t="s">
        <v>863</v>
      </c>
    </row>
    <row r="20" spans="1:7" ht="35.5" customHeight="1">
      <c r="A20" s="479" t="s">
        <v>716</v>
      </c>
      <c r="B20" s="479"/>
      <c r="C20" s="271" t="s">
        <v>424</v>
      </c>
      <c r="D20" s="467"/>
      <c r="E20" s="467"/>
      <c r="F20" s="467"/>
      <c r="G20" s="261"/>
    </row>
    <row r="21" spans="1:7" ht="51.5" customHeight="1">
      <c r="A21" s="479" t="s">
        <v>701</v>
      </c>
      <c r="B21" s="479"/>
      <c r="C21" s="271" t="s">
        <v>721</v>
      </c>
      <c r="D21" s="468" t="s">
        <v>718</v>
      </c>
      <c r="E21" s="467"/>
      <c r="F21" s="467"/>
      <c r="G21" s="274" t="s">
        <v>719</v>
      </c>
    </row>
    <row r="22" spans="1:7" ht="33.5" customHeight="1">
      <c r="A22" s="479" t="s">
        <v>829</v>
      </c>
      <c r="B22" s="479"/>
      <c r="C22" s="271" t="s">
        <v>721</v>
      </c>
      <c r="D22" s="468" t="s">
        <v>723</v>
      </c>
      <c r="E22" s="467"/>
      <c r="F22" s="467"/>
      <c r="G22" s="275" t="s">
        <v>726</v>
      </c>
    </row>
    <row r="23" spans="1:7" ht="33.5" customHeight="1">
      <c r="A23" s="479" t="s">
        <v>831</v>
      </c>
      <c r="B23" s="479"/>
      <c r="C23" s="271" t="s">
        <v>721</v>
      </c>
      <c r="D23" s="468" t="s">
        <v>830</v>
      </c>
      <c r="E23" s="467"/>
      <c r="F23" s="467"/>
      <c r="G23" s="283" t="s">
        <v>726</v>
      </c>
    </row>
    <row r="24" spans="1:7" ht="69" customHeight="1">
      <c r="A24" s="479" t="s">
        <v>828</v>
      </c>
      <c r="B24" s="479"/>
      <c r="C24" s="271" t="s">
        <v>424</v>
      </c>
      <c r="D24" s="468" t="s">
        <v>704</v>
      </c>
      <c r="E24" s="468"/>
      <c r="F24" s="468"/>
      <c r="G24" s="269" t="s">
        <v>706</v>
      </c>
    </row>
    <row r="25" spans="1:7" ht="29" customHeight="1">
      <c r="A25" s="479" t="s">
        <v>832</v>
      </c>
      <c r="B25" s="479"/>
      <c r="C25" s="271" t="s">
        <v>424</v>
      </c>
      <c r="D25" s="467"/>
      <c r="E25" s="467"/>
      <c r="F25" s="467"/>
      <c r="G25" s="261"/>
    </row>
    <row r="26" spans="1:7" ht="29" customHeight="1">
      <c r="A26" s="479" t="s">
        <v>833</v>
      </c>
      <c r="B26" s="479"/>
      <c r="C26" s="271" t="s">
        <v>424</v>
      </c>
      <c r="D26" s="467"/>
      <c r="E26" s="467"/>
      <c r="F26" s="467"/>
      <c r="G26" s="261"/>
    </row>
    <row r="27" spans="1:7" ht="63.5" customHeight="1">
      <c r="A27" s="479" t="s">
        <v>834</v>
      </c>
      <c r="B27" s="479"/>
      <c r="C27" s="277" t="s">
        <v>731</v>
      </c>
      <c r="D27" s="477" t="s">
        <v>724</v>
      </c>
      <c r="E27" s="478"/>
      <c r="F27" s="478"/>
      <c r="G27" s="274" t="s">
        <v>725</v>
      </c>
    </row>
    <row r="30" spans="1:7" ht="16" customHeight="1">
      <c r="A30" s="1" t="s">
        <v>857</v>
      </c>
    </row>
    <row r="31" spans="1:7" ht="16" customHeight="1">
      <c r="A31" s="1" t="s">
        <v>858</v>
      </c>
    </row>
    <row r="32" spans="1:7" ht="16" customHeight="1">
      <c r="A32" s="1" t="s">
        <v>859</v>
      </c>
    </row>
    <row r="33" spans="1:1" ht="16" customHeight="1">
      <c r="A33" s="1" t="s">
        <v>860</v>
      </c>
    </row>
    <row r="34" spans="1:1" ht="16" customHeight="1">
      <c r="A34" s="1" t="s">
        <v>861</v>
      </c>
    </row>
    <row r="35" spans="1:1" ht="16" customHeight="1">
      <c r="A35" s="1" t="s">
        <v>862</v>
      </c>
    </row>
  </sheetData>
  <mergeCells count="34">
    <mergeCell ref="A20:B20"/>
    <mergeCell ref="A22:B22"/>
    <mergeCell ref="D22:F22"/>
    <mergeCell ref="D19:F19"/>
    <mergeCell ref="A15:B15"/>
    <mergeCell ref="A16:B16"/>
    <mergeCell ref="A17:B17"/>
    <mergeCell ref="A18:B18"/>
    <mergeCell ref="A19:B19"/>
    <mergeCell ref="D20:F20"/>
    <mergeCell ref="D18:F18"/>
    <mergeCell ref="D27:F27"/>
    <mergeCell ref="A21:B21"/>
    <mergeCell ref="A24:B24"/>
    <mergeCell ref="A25:B25"/>
    <mergeCell ref="A26:B26"/>
    <mergeCell ref="A27:B27"/>
    <mergeCell ref="D21:F21"/>
    <mergeCell ref="D24:F24"/>
    <mergeCell ref="D25:F25"/>
    <mergeCell ref="D26:F26"/>
    <mergeCell ref="A23:B23"/>
    <mergeCell ref="D23:F23"/>
    <mergeCell ref="A11:B11"/>
    <mergeCell ref="D11:F11"/>
    <mergeCell ref="A12:B12"/>
    <mergeCell ref="D12:F12"/>
    <mergeCell ref="A13:B13"/>
    <mergeCell ref="D13:F13"/>
    <mergeCell ref="A14:B14"/>
    <mergeCell ref="D14:F14"/>
    <mergeCell ref="D15:F15"/>
    <mergeCell ref="D16:F16"/>
    <mergeCell ref="D17:F17"/>
  </mergeCells>
  <phoneticPr fontId="13" type="noConversion"/>
  <dataValidations count="3">
    <dataValidation type="list" allowBlank="1" showInputMessage="1" showErrorMessage="1" sqref="B4">
      <formula1>"New,Renewal,MSA"</formula1>
    </dataValidation>
    <dataValidation type="list" allowBlank="1" showInputMessage="1" showErrorMessage="1" sqref="E7:E9">
      <formula1>"Low,Medium,High"</formula1>
    </dataValidation>
    <dataValidation type="list" allowBlank="1" showInputMessage="1" showErrorMessage="1" sqref="C16:C27">
      <formula1>"Yes,No"</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8" r:id="rId4" name="Button 8">
              <controlPr defaultSize="0" print="0" autoFill="0" autoPict="0" macro="[0]!write_NSPForm">
                <anchor moveWithCells="1" sizeWithCells="1">
                  <from>
                    <xdr:col>1</xdr:col>
                    <xdr:colOff>57150</xdr:colOff>
                    <xdr:row>0</xdr:row>
                    <xdr:rowOff>50800</xdr:rowOff>
                  </from>
                  <to>
                    <xdr:col>1</xdr:col>
                    <xdr:colOff>1543050</xdr:colOff>
                    <xdr:row>1</xdr:row>
                    <xdr:rowOff>101600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H33"/>
  <sheetViews>
    <sheetView workbookViewId="0">
      <selection activeCell="C20" sqref="C20"/>
    </sheetView>
  </sheetViews>
  <sheetFormatPr defaultRowHeight="16" customHeight="1"/>
  <cols>
    <col min="1" max="1" width="22.08984375" style="1" customWidth="1"/>
    <col min="2" max="2" width="36.54296875" style="1" customWidth="1"/>
    <col min="3" max="3" width="34.6328125" style="1" customWidth="1"/>
    <col min="4" max="7" width="8.7265625" style="1"/>
    <col min="8" max="8" width="12" style="4" bestFit="1" customWidth="1"/>
    <col min="9" max="16384" width="8.7265625" style="1"/>
  </cols>
  <sheetData>
    <row r="1" spans="1:2" ht="16" customHeight="1">
      <c r="A1" s="3" t="s">
        <v>438</v>
      </c>
    </row>
    <row r="2" spans="1:2" ht="16" customHeight="1">
      <c r="A2" s="117" t="str">
        <f>IF(OR('Cost simulation'!F5="O",'Cost simulation'!F6="O"),"Local DO",IF(OR('Cost simulation'!F7="O", 'Cost simulation'!F8="O", 'Cost simulation'!F9="O"), "APAC DO", "No need"))</f>
        <v>Local DO</v>
      </c>
    </row>
    <row r="3" spans="1:2" ht="16" customHeight="1">
      <c r="A3" s="2" t="s">
        <v>450</v>
      </c>
    </row>
    <row r="4" spans="1:2" ht="16" customHeight="1">
      <c r="A4" s="108" t="s">
        <v>439</v>
      </c>
      <c r="B4" s="73" t="str">
        <f>DI.OPPID</f>
        <v>OPE-0014158119</v>
      </c>
    </row>
    <row r="5" spans="1:2" ht="16" customHeight="1">
      <c r="A5" s="108" t="s">
        <v>440</v>
      </c>
      <c r="B5" s="67" t="str">
        <f>DI.Customer</f>
        <v>Shinhan Card</v>
      </c>
    </row>
    <row r="6" spans="1:2" ht="16" customHeight="1">
      <c r="A6" s="108" t="s">
        <v>441</v>
      </c>
      <c r="B6" s="67" t="str">
        <f>DI.ProjectName</f>
        <v>Cloudera infra support</v>
      </c>
    </row>
    <row r="7" spans="1:2" ht="16" customHeight="1">
      <c r="A7" s="108" t="s">
        <v>361</v>
      </c>
      <c r="B7" s="67" t="str">
        <f>DI.PreparedBy</f>
        <v>Her, Il</v>
      </c>
    </row>
    <row r="8" spans="1:2" ht="16" customHeight="1">
      <c r="A8" s="108" t="s">
        <v>442</v>
      </c>
      <c r="B8" s="76">
        <v>44785</v>
      </c>
    </row>
    <row r="9" spans="1:2" ht="16" customHeight="1">
      <c r="A9" s="108" t="s">
        <v>443</v>
      </c>
      <c r="B9" s="67" t="str">
        <f>DI.ClientPrincipal</f>
        <v>Lee, Jung Heui</v>
      </c>
    </row>
    <row r="10" spans="1:2" ht="16" customHeight="1">
      <c r="A10" s="108" t="s">
        <v>444</v>
      </c>
      <c r="B10" s="109" t="s">
        <v>921</v>
      </c>
    </row>
    <row r="11" spans="1:2" ht="16" customHeight="1">
      <c r="A11" s="108" t="s">
        <v>445</v>
      </c>
      <c r="B11" s="67" t="str">
        <f>TEXT(DE.SUB_DATE, "yyyy-mm-dd")</f>
        <v>2022-08-17</v>
      </c>
    </row>
    <row r="12" spans="1:2" ht="16" customHeight="1">
      <c r="A12" s="115" t="s">
        <v>460</v>
      </c>
      <c r="B12" s="67" t="str">
        <f>TEXT(DI.StartDate, "yyyy-mm-dd")</f>
        <v>2022-12-01</v>
      </c>
    </row>
    <row r="13" spans="1:2" ht="16" customHeight="1">
      <c r="A13" s="108" t="s">
        <v>246</v>
      </c>
      <c r="B13" s="67">
        <f>DI.ProjectDuration</f>
        <v>2</v>
      </c>
    </row>
    <row r="14" spans="1:2" ht="16" customHeight="1">
      <c r="A14" s="108" t="s">
        <v>375</v>
      </c>
      <c r="B14" s="67" t="str">
        <f>DE.GTM</f>
        <v>Direct</v>
      </c>
    </row>
    <row r="15" spans="1:2" ht="16" customHeight="1">
      <c r="A15" s="108" t="s">
        <v>446</v>
      </c>
      <c r="B15" s="109" t="s">
        <v>621</v>
      </c>
    </row>
    <row r="16" spans="1:2" ht="16" customHeight="1">
      <c r="A16" s="108" t="s">
        <v>447</v>
      </c>
      <c r="B16" s="67" t="str">
        <f>'Deal eng.'!B14</f>
        <v>Binding</v>
      </c>
    </row>
    <row r="17" spans="1:8" ht="16" customHeight="1">
      <c r="A17" s="108" t="s">
        <v>448</v>
      </c>
      <c r="B17" s="67" t="str">
        <f>SFDC.BILL_MODEL</f>
        <v>Local Invoicing only</v>
      </c>
    </row>
    <row r="18" spans="1:8" ht="16" customHeight="1">
      <c r="A18" s="108" t="s">
        <v>369</v>
      </c>
      <c r="B18" s="67" t="str">
        <f>'Deal eng.'!B11</f>
        <v>Korea</v>
      </c>
    </row>
    <row r="19" spans="1:8" ht="16" customHeight="1">
      <c r="A19" s="108" t="s">
        <v>370</v>
      </c>
      <c r="B19" s="67" t="str">
        <f>'Deal eng.'!B12</f>
        <v>APAC</v>
      </c>
    </row>
    <row r="20" spans="1:8" ht="16" customHeight="1">
      <c r="A20" s="108" t="s">
        <v>170</v>
      </c>
      <c r="B20" s="67" t="str">
        <f>'Deal eng.'!B13</f>
        <v>APS</v>
      </c>
    </row>
    <row r="21" spans="1:8" ht="16" customHeight="1">
      <c r="A21" s="108" t="s">
        <v>196</v>
      </c>
      <c r="B21" s="44" t="s">
        <v>583</v>
      </c>
    </row>
    <row r="22" spans="1:8" ht="16" customHeight="1">
      <c r="A22" s="108" t="s">
        <v>453</v>
      </c>
      <c r="B22" s="73">
        <f>E3T.TCV_USDK</f>
        <v>47.583643122676577</v>
      </c>
      <c r="H22" s="138"/>
    </row>
    <row r="23" spans="1:8" ht="16" customHeight="1">
      <c r="A23" s="108" t="s">
        <v>451</v>
      </c>
      <c r="B23" s="68">
        <f>E3T.FLGM</f>
        <v>0.14984848672648221</v>
      </c>
    </row>
    <row r="24" spans="1:8" ht="16" customHeight="1">
      <c r="A24" s="108" t="s">
        <v>452</v>
      </c>
      <c r="B24" s="137" t="s">
        <v>894</v>
      </c>
    </row>
    <row r="26" spans="1:8" ht="16" customHeight="1">
      <c r="A26" s="2" t="s">
        <v>454</v>
      </c>
    </row>
    <row r="27" spans="1:8" ht="107.5" customHeight="1">
      <c r="A27" s="70" t="s">
        <v>455</v>
      </c>
      <c r="B27" s="464" t="str">
        <f>'DA briefing'!B9:C9</f>
        <v>- Upgrade the integrated analysis platform that was built and operated using Cloudera
- This improves customer service by securing system stability and supporting efficient infrastructure operation
- In addition, enahnce service satisfaction and discover new business to strengthen business competitiveness</v>
      </c>
      <c r="C27" s="464"/>
    </row>
    <row r="28" spans="1:8" ht="62" customHeight="1">
      <c r="A28" s="70" t="s">
        <v>456</v>
      </c>
      <c r="B28" s="480" t="s">
        <v>869</v>
      </c>
      <c r="C28" s="457"/>
    </row>
    <row r="29" spans="1:8" ht="58" customHeight="1">
      <c r="A29" s="70" t="s">
        <v>457</v>
      </c>
      <c r="B29" s="481" t="str">
        <f>DI.Assumption</f>
        <v>- H/W and S/W will be provided by the customer (another contract)
- Contract with the customer in August but the project will start in December due to the resignation of the person in charge.</v>
      </c>
      <c r="C29" s="464"/>
    </row>
    <row r="30" spans="1:8" ht="21" customHeight="1">
      <c r="A30" s="70" t="s">
        <v>461</v>
      </c>
      <c r="B30" s="480" t="s">
        <v>923</v>
      </c>
      <c r="C30" s="457"/>
    </row>
    <row r="31" spans="1:8" ht="88.5" customHeight="1">
      <c r="A31" s="70" t="s">
        <v>462</v>
      </c>
      <c r="B31" s="480" t="s">
        <v>922</v>
      </c>
      <c r="C31" s="457"/>
    </row>
    <row r="33" spans="1:1" ht="16" customHeight="1">
      <c r="A33" s="2"/>
    </row>
  </sheetData>
  <mergeCells count="5">
    <mergeCell ref="B27:C27"/>
    <mergeCell ref="B28:C28"/>
    <mergeCell ref="B29:C29"/>
    <mergeCell ref="B30:C30"/>
    <mergeCell ref="B31:C31"/>
  </mergeCells>
  <phoneticPr fontId="13" type="noConversion"/>
  <dataValidations count="1">
    <dataValidation type="list" allowBlank="1" showInputMessage="1" showErrorMessage="1" sqref="B21">
      <formula1>"Low,Medium,High,Very High"</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6" r:id="rId4" name="Button 2">
              <controlPr defaultSize="0" print="0" autoFill="0" autoPict="0" macro="[0]!write_Summary">
                <anchor moveWithCells="1" sizeWithCells="1">
                  <from>
                    <xdr:col>1</xdr:col>
                    <xdr:colOff>31750</xdr:colOff>
                    <xdr:row>0</xdr:row>
                    <xdr:rowOff>50800</xdr:rowOff>
                  </from>
                  <to>
                    <xdr:col>1</xdr:col>
                    <xdr:colOff>1708150</xdr:colOff>
                    <xdr:row>1</xdr:row>
                    <xdr:rowOff>101600</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14"/>
  <sheetViews>
    <sheetView zoomScale="85" zoomScaleNormal="85" workbookViewId="0">
      <selection activeCell="K26" sqref="K26"/>
    </sheetView>
  </sheetViews>
  <sheetFormatPr defaultRowHeight="16" customHeight="1"/>
  <cols>
    <col min="1" max="1" width="19.08984375" style="1" customWidth="1"/>
    <col min="2" max="2" width="28.08984375" style="1" customWidth="1"/>
    <col min="3" max="16384" width="8.7265625" style="1"/>
  </cols>
  <sheetData>
    <row r="1" spans="1:2" ht="16" customHeight="1">
      <c r="A1" s="3" t="s">
        <v>469</v>
      </c>
    </row>
    <row r="3" spans="1:2" ht="16" customHeight="1">
      <c r="A3" s="118" t="s">
        <v>470</v>
      </c>
      <c r="B3" s="60" t="str">
        <f>DI.Customer</f>
        <v>Shinhan Card</v>
      </c>
    </row>
    <row r="4" spans="1:2" ht="16" customHeight="1">
      <c r="A4" s="118" t="s">
        <v>471</v>
      </c>
      <c r="B4" s="60" t="str">
        <f>DI.ProjectName</f>
        <v>Cloudera infra support</v>
      </c>
    </row>
    <row r="5" spans="1:2" ht="16" customHeight="1">
      <c r="A5" s="118" t="s">
        <v>207</v>
      </c>
      <c r="B5" s="60" t="str">
        <f>DI.EID</f>
        <v>KR3-PCS01.05</v>
      </c>
    </row>
    <row r="6" spans="1:2" ht="16" customHeight="1">
      <c r="A6" s="282" t="s">
        <v>835</v>
      </c>
      <c r="B6" s="284" t="str">
        <f>DI.OPPID</f>
        <v>OPE-0014158119</v>
      </c>
    </row>
    <row r="7" spans="1:2" ht="16" customHeight="1">
      <c r="A7" s="118" t="s">
        <v>472</v>
      </c>
      <c r="B7" s="60" t="str">
        <f>TEXT(DI.StartDate, "yyyy-mm-dd")</f>
        <v>2022-12-01</v>
      </c>
    </row>
    <row r="8" spans="1:2" ht="16" customHeight="1">
      <c r="A8" s="118" t="s">
        <v>473</v>
      </c>
      <c r="B8" s="60" t="str">
        <f>TEXT(DI.EndDate, "yyyy-mm-dd")</f>
        <v>2023-01-31</v>
      </c>
    </row>
    <row r="9" spans="1:2" ht="16" customHeight="1">
      <c r="A9" s="118" t="s">
        <v>0</v>
      </c>
      <c r="B9" s="129">
        <f>E3T.TCV</f>
        <v>64000000</v>
      </c>
    </row>
    <row r="10" spans="1:2" ht="16" customHeight="1">
      <c r="A10" s="118" t="s">
        <v>70</v>
      </c>
      <c r="B10" s="56">
        <f>E3T.EGM</f>
        <v>0.33354560410312506</v>
      </c>
    </row>
    <row r="11" spans="1:2" ht="16" customHeight="1">
      <c r="A11" s="118" t="s">
        <v>1</v>
      </c>
      <c r="B11" s="56">
        <f>E3T.FLGM</f>
        <v>0.14984848672648221</v>
      </c>
    </row>
    <row r="12" spans="1:2" ht="16" customHeight="1">
      <c r="A12" s="118" t="s">
        <v>476</v>
      </c>
      <c r="B12" s="56">
        <f>E3T.RISK_RATE</f>
        <v>3.0000000000000002E-2</v>
      </c>
    </row>
    <row r="13" spans="1:2" ht="16" customHeight="1">
      <c r="A13" s="118" t="s">
        <v>474</v>
      </c>
      <c r="B13" s="60" t="str">
        <f>'Deal info'!E6</f>
        <v>클라우데라 인프라 지원</v>
      </c>
    </row>
    <row r="14" spans="1:2" ht="16" customHeight="1">
      <c r="A14" s="118" t="s">
        <v>475</v>
      </c>
      <c r="B14" s="60" t="str">
        <f>'Deal info'!E5</f>
        <v>Cloudera infra support</v>
      </c>
    </row>
  </sheetData>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write_FLGMJustification">
                <anchor moveWithCells="1" sizeWithCells="1">
                  <from>
                    <xdr:col>1</xdr:col>
                    <xdr:colOff>114300</xdr:colOff>
                    <xdr:row>0</xdr:row>
                    <xdr:rowOff>76200</xdr:rowOff>
                  </from>
                  <to>
                    <xdr:col>1</xdr:col>
                    <xdr:colOff>1955800</xdr:colOff>
                    <xdr:row>1</xdr:row>
                    <xdr:rowOff>82550</xdr:rowOff>
                  </to>
                </anchor>
              </controlPr>
            </control>
          </mc:Choice>
        </mc:AlternateContent>
        <mc:AlternateContent xmlns:mc="http://schemas.openxmlformats.org/markup-compatibility/2006">
          <mc:Choice Requires="x14">
            <control shapeId="35844" r:id="rId5" name="Button 4">
              <controlPr defaultSize="0" print="0" autoFill="0" autoPict="0" macro="[0]!mail_for_FLGM_approval">
                <anchor moveWithCells="1" sizeWithCells="1">
                  <from>
                    <xdr:col>2</xdr:col>
                    <xdr:colOff>114300</xdr:colOff>
                    <xdr:row>0</xdr:row>
                    <xdr:rowOff>76200</xdr:rowOff>
                  </from>
                  <to>
                    <xdr:col>4</xdr:col>
                    <xdr:colOff>469900</xdr:colOff>
                    <xdr:row>1</xdr:row>
                    <xdr:rowOff>82550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2"/>
  <dimension ref="A1:D22"/>
  <sheetViews>
    <sheetView workbookViewId="0">
      <selection activeCell="D13" sqref="D13"/>
    </sheetView>
  </sheetViews>
  <sheetFormatPr defaultRowHeight="16" customHeight="1"/>
  <cols>
    <col min="1" max="1" width="21.6328125" style="1" customWidth="1"/>
    <col min="2" max="2" width="26.36328125" style="1" customWidth="1"/>
    <col min="3" max="16384" width="8.7265625" style="1"/>
  </cols>
  <sheetData>
    <row r="1" spans="1:4" ht="16" customHeight="1">
      <c r="A1" s="3" t="s">
        <v>524</v>
      </c>
    </row>
    <row r="2" spans="1:4" ht="16" customHeight="1">
      <c r="A2" s="132" t="s">
        <v>525</v>
      </c>
    </row>
    <row r="4" spans="1:4" ht="16" customHeight="1">
      <c r="A4" s="118" t="s">
        <v>526</v>
      </c>
      <c r="B4" s="60" t="str">
        <f>DI.OPPID</f>
        <v>OPE-0014158119</v>
      </c>
    </row>
    <row r="5" spans="1:4" ht="16" customHeight="1">
      <c r="A5" s="118" t="s">
        <v>527</v>
      </c>
      <c r="B5" s="57" t="s">
        <v>546</v>
      </c>
    </row>
    <row r="6" spans="1:4" ht="16" customHeight="1">
      <c r="A6" s="118" t="s">
        <v>528</v>
      </c>
      <c r="B6" s="60" t="str">
        <f>DI.EID</f>
        <v>KR3-PCS01.05</v>
      </c>
    </row>
    <row r="7" spans="1:4" ht="16" customHeight="1">
      <c r="A7" s="118" t="s">
        <v>529</v>
      </c>
      <c r="B7" s="60" t="str">
        <f>'Deal info'!B9</f>
        <v>7100728495</v>
      </c>
      <c r="D7" s="2" t="s">
        <v>960</v>
      </c>
    </row>
    <row r="8" spans="1:4" ht="16" customHeight="1">
      <c r="A8" s="118" t="s">
        <v>530</v>
      </c>
      <c r="B8" s="60" t="str">
        <f>TEXT('Deal info'!B4, "yyyy-mm-dd")</f>
        <v>2022-07-25</v>
      </c>
      <c r="D8" s="1" t="s">
        <v>961</v>
      </c>
    </row>
    <row r="9" spans="1:4" ht="16" customHeight="1">
      <c r="A9" s="118" t="s">
        <v>531</v>
      </c>
      <c r="B9" s="60" t="str">
        <f>'FLGM Jf'!B14</f>
        <v>Cloudera infra support</v>
      </c>
      <c r="D9" s="330" t="s">
        <v>962</v>
      </c>
    </row>
    <row r="10" spans="1:4" ht="16" customHeight="1">
      <c r="A10" s="118" t="s">
        <v>532</v>
      </c>
      <c r="B10" s="60" t="str">
        <f>'Deal info'!B6</f>
        <v>HK031A1</v>
      </c>
    </row>
    <row r="11" spans="1:4" ht="16" customHeight="1">
      <c r="A11" s="118" t="s">
        <v>533</v>
      </c>
      <c r="B11" s="60" t="str">
        <f>'Deal info'!B10</f>
        <v>NQ04373322-01</v>
      </c>
    </row>
    <row r="12" spans="1:4" ht="16" customHeight="1">
      <c r="A12" s="118" t="s">
        <v>534</v>
      </c>
      <c r="B12" s="60" t="str">
        <f>'Deal info'!B8</f>
        <v>ETEVERS</v>
      </c>
    </row>
    <row r="13" spans="1:4" ht="16" customHeight="1">
      <c r="A13" s="118" t="s">
        <v>535</v>
      </c>
      <c r="B13" s="60" t="str">
        <f>DI.Customer</f>
        <v>Shinhan Card</v>
      </c>
    </row>
    <row r="14" spans="1:4" ht="16" customHeight="1">
      <c r="A14" s="118" t="s">
        <v>536</v>
      </c>
      <c r="B14" s="60" t="str">
        <f>DI.ProjectManager</f>
        <v>Park, Shin Wook</v>
      </c>
    </row>
    <row r="15" spans="1:4" ht="16" customHeight="1">
      <c r="A15" s="118" t="s">
        <v>537</v>
      </c>
      <c r="B15" s="134" t="s">
        <v>65</v>
      </c>
    </row>
    <row r="16" spans="1:4" ht="16" customHeight="1">
      <c r="A16" s="118" t="s">
        <v>538</v>
      </c>
      <c r="B16" s="60" t="str">
        <f>DI.ClientPrincipal</f>
        <v>Lee, Jung Heui</v>
      </c>
    </row>
    <row r="17" spans="1:2" ht="16" customHeight="1">
      <c r="A17" s="118" t="s">
        <v>539</v>
      </c>
      <c r="B17" s="129">
        <f>'Deal info'!B13</f>
        <v>64000000</v>
      </c>
    </row>
    <row r="18" spans="1:2" ht="16" customHeight="1">
      <c r="A18" s="118" t="s">
        <v>540</v>
      </c>
      <c r="B18" s="57" t="s">
        <v>547</v>
      </c>
    </row>
    <row r="19" spans="1:2" ht="16" customHeight="1">
      <c r="A19" s="118" t="s">
        <v>541</v>
      </c>
      <c r="B19" s="57" t="s">
        <v>548</v>
      </c>
    </row>
    <row r="20" spans="1:2" ht="16" customHeight="1">
      <c r="A20" s="118" t="s">
        <v>542</v>
      </c>
      <c r="B20" s="57" t="s">
        <v>549</v>
      </c>
    </row>
    <row r="21" spans="1:2" ht="16" customHeight="1">
      <c r="A21" s="118" t="s">
        <v>543</v>
      </c>
      <c r="B21" s="128"/>
    </row>
    <row r="22" spans="1:2" ht="33.5" customHeight="1">
      <c r="A22" s="118" t="s">
        <v>544</v>
      </c>
      <c r="B22" s="133" t="s">
        <v>545</v>
      </c>
    </row>
  </sheetData>
  <phoneticPr fontId="13" type="noConversion"/>
  <hyperlinks>
    <hyperlink ref="A2"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69633" r:id="rId5" name="Button 1">
              <controlPr defaultSize="0" print="0" autoFill="0" autoPict="0" macro="[0]!mail_for_WBS_Creation">
                <anchor moveWithCells="1" sizeWithCells="1">
                  <from>
                    <xdr:col>2</xdr:col>
                    <xdr:colOff>196850</xdr:colOff>
                    <xdr:row>3</xdr:row>
                    <xdr:rowOff>38100</xdr:rowOff>
                  </from>
                  <to>
                    <xdr:col>4</xdr:col>
                    <xdr:colOff>0</xdr:colOff>
                    <xdr:row>4</xdr:row>
                    <xdr:rowOff>120650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
  <sheetViews>
    <sheetView workbookViewId="0"/>
  </sheetViews>
  <sheetFormatPr defaultRowHeight="11.5"/>
  <sheetData/>
  <phoneticPr fontId="13" type="noConversion"/>
  <pageMargins left="0.7" right="0.7" top="0.75" bottom="0.75" header="0.3" footer="0.3"/>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0"/>
  <dimension ref="A1:B26"/>
  <sheetViews>
    <sheetView workbookViewId="0">
      <selection activeCell="E6" sqref="E6"/>
    </sheetView>
  </sheetViews>
  <sheetFormatPr defaultRowHeight="16" customHeight="1"/>
  <cols>
    <col min="1" max="1" width="12.6328125" style="1" bestFit="1" customWidth="1"/>
    <col min="2" max="2" width="31" style="1" customWidth="1"/>
    <col min="3" max="16384" width="8.7265625" style="1"/>
  </cols>
  <sheetData>
    <row r="1" spans="1:2" ht="16" customHeight="1">
      <c r="A1" s="3" t="s">
        <v>477</v>
      </c>
    </row>
    <row r="3" spans="1:2" ht="16" customHeight="1">
      <c r="A3" s="118" t="s">
        <v>470</v>
      </c>
      <c r="B3" s="60" t="str">
        <f>DI.Customer</f>
        <v>Shinhan Card</v>
      </c>
    </row>
    <row r="4" spans="1:2" ht="16" customHeight="1">
      <c r="A4" s="118" t="s">
        <v>471</v>
      </c>
      <c r="B4" s="60" t="str">
        <f>DI.ProjectName</f>
        <v>Cloudera infra support</v>
      </c>
    </row>
    <row r="5" spans="1:2" ht="16" customHeight="1">
      <c r="A5" s="118" t="s">
        <v>207</v>
      </c>
      <c r="B5" s="60" t="str">
        <f>DI.EID</f>
        <v>KR3-PCS01.05</v>
      </c>
    </row>
    <row r="6" spans="1:2" ht="16" customHeight="1">
      <c r="A6" s="118" t="s">
        <v>478</v>
      </c>
      <c r="B6" s="76">
        <v>44814</v>
      </c>
    </row>
    <row r="7" spans="1:2" ht="16" customHeight="1">
      <c r="A7" s="118" t="s">
        <v>479</v>
      </c>
      <c r="B7" s="60" t="str">
        <f>DI.ProjectManager</f>
        <v>Park, Shin Wook</v>
      </c>
    </row>
    <row r="8" spans="1:2" ht="16" customHeight="1">
      <c r="A8" s="118" t="s">
        <v>480</v>
      </c>
      <c r="B8" s="60" t="str">
        <f>'Deal info'!E13</f>
        <v>Manager</v>
      </c>
    </row>
    <row r="9" spans="1:2" ht="16" customHeight="1">
      <c r="A9" s="118" t="s">
        <v>481</v>
      </c>
      <c r="B9" s="60" t="str">
        <f>'Deal info'!E14</f>
        <v>010-2581-0613</v>
      </c>
    </row>
    <row r="10" spans="1:2" ht="16" customHeight="1">
      <c r="A10" s="118" t="s">
        <v>482</v>
      </c>
      <c r="B10" s="60" t="str">
        <f>'Deal info'!E15</f>
        <v>shin-wook.park@hpe.com</v>
      </c>
    </row>
    <row r="11" spans="1:2" ht="16" customHeight="1">
      <c r="A11" s="118" t="s">
        <v>0</v>
      </c>
      <c r="B11" s="129">
        <f>E3T.TCV</f>
        <v>64000000</v>
      </c>
    </row>
    <row r="12" spans="1:2" ht="16" customHeight="1">
      <c r="A12" s="118" t="s">
        <v>483</v>
      </c>
      <c r="B12" s="60" t="str">
        <f>'Deal info'!B8</f>
        <v>ETEVERS</v>
      </c>
    </row>
    <row r="13" spans="1:2" ht="16" customHeight="1">
      <c r="A13" s="118" t="s">
        <v>472</v>
      </c>
      <c r="B13" s="60" t="str">
        <f>TEXT(DI.StartDate, "yyyy-mm-dd")</f>
        <v>2022-12-01</v>
      </c>
    </row>
    <row r="14" spans="1:2" ht="16" customHeight="1">
      <c r="A14" s="118" t="s">
        <v>473</v>
      </c>
      <c r="B14" s="60" t="str">
        <f>TEXT(DI.EndDate, "yyyy-mm-dd")</f>
        <v>2023-01-31</v>
      </c>
    </row>
    <row r="15" spans="1:2" ht="16" customHeight="1">
      <c r="A15" s="118" t="s">
        <v>491</v>
      </c>
      <c r="B15" s="60">
        <f>DI.ProjectDuration</f>
        <v>2</v>
      </c>
    </row>
    <row r="16" spans="1:2" ht="16" customHeight="1">
      <c r="A16" s="118" t="s">
        <v>474</v>
      </c>
      <c r="B16" s="60" t="str">
        <f>'Deal info'!E6</f>
        <v>클라우데라 인프라 지원</v>
      </c>
    </row>
    <row r="17" spans="1:2" ht="16" customHeight="1">
      <c r="A17" s="118" t="s">
        <v>484</v>
      </c>
      <c r="B17" s="120" t="s">
        <v>963</v>
      </c>
    </row>
    <row r="18" spans="1:2" ht="16" customHeight="1">
      <c r="A18" s="118" t="s">
        <v>485</v>
      </c>
      <c r="B18" s="120" t="s">
        <v>964</v>
      </c>
    </row>
    <row r="19" spans="1:2" ht="16" customHeight="1">
      <c r="A19" s="118" t="s">
        <v>486</v>
      </c>
      <c r="B19" s="120"/>
    </row>
    <row r="21" spans="1:2" ht="16" customHeight="1">
      <c r="A21" s="3" t="s">
        <v>487</v>
      </c>
    </row>
    <row r="22" spans="1:2" ht="16" customHeight="1">
      <c r="A22" s="118" t="s">
        <v>488</v>
      </c>
      <c r="B22" s="120" t="s">
        <v>836</v>
      </c>
    </row>
    <row r="23" spans="1:2" ht="16" customHeight="1">
      <c r="A23" s="118" t="s">
        <v>489</v>
      </c>
      <c r="B23" s="120" t="s">
        <v>965</v>
      </c>
    </row>
    <row r="24" spans="1:2" ht="16" customHeight="1">
      <c r="A24" s="118" t="s">
        <v>490</v>
      </c>
      <c r="B24" s="76">
        <v>44581</v>
      </c>
    </row>
    <row r="25" spans="1:2" ht="16" customHeight="1">
      <c r="A25" s="282" t="s">
        <v>837</v>
      </c>
      <c r="B25" s="294" t="str">
        <f>'Deal info'!B8</f>
        <v>ETEVERS</v>
      </c>
    </row>
    <row r="26" spans="1:2" ht="16" customHeight="1">
      <c r="A26" s="282" t="s">
        <v>838</v>
      </c>
      <c r="B26" s="294" t="str">
        <f>DI.ClientPrincipal</f>
        <v>Lee, Jung Heui</v>
      </c>
    </row>
  </sheetData>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6865" r:id="rId4" name="Button 1">
              <controlPr defaultSize="0" print="0" autoFill="0" autoPict="0" macro="[0]!make_CustomerSOW">
                <anchor moveWithCells="1" sizeWithCells="1">
                  <from>
                    <xdr:col>1</xdr:col>
                    <xdr:colOff>88900</xdr:colOff>
                    <xdr:row>0</xdr:row>
                    <xdr:rowOff>69850</xdr:rowOff>
                  </from>
                  <to>
                    <xdr:col>1</xdr:col>
                    <xdr:colOff>1676400</xdr:colOff>
                    <xdr:row>1</xdr:row>
                    <xdr:rowOff>82550</xdr:rowOff>
                  </to>
                </anchor>
              </controlPr>
            </control>
          </mc:Choice>
        </mc:AlternateContent>
        <mc:AlternateContent xmlns:mc="http://schemas.openxmlformats.org/markup-compatibility/2006">
          <mc:Choice Requires="x14">
            <control shapeId="36867" r:id="rId5" name="Button 3">
              <controlPr defaultSize="0" print="0" autoFill="0" autoPict="0" macro="[0]!make_CustomerSignoff">
                <anchor moveWithCells="1" sizeWithCells="1">
                  <from>
                    <xdr:col>1</xdr:col>
                    <xdr:colOff>171450</xdr:colOff>
                    <xdr:row>19</xdr:row>
                    <xdr:rowOff>139700</xdr:rowOff>
                  </from>
                  <to>
                    <xdr:col>1</xdr:col>
                    <xdr:colOff>1758950</xdr:colOff>
                    <xdr:row>20</xdr:row>
                    <xdr:rowOff>152400</xdr:rowOff>
                  </to>
                </anchor>
              </controlPr>
            </control>
          </mc:Choice>
        </mc:AlternateContent>
        <mc:AlternateContent xmlns:mc="http://schemas.openxmlformats.org/markup-compatibility/2006">
          <mc:Choice Requires="x14">
            <control shapeId="36868" r:id="rId6" name="Button 4">
              <controlPr defaultSize="0" print="0" autoFill="0" autoPict="0" macro="[0]!mail_for_customer_signoff">
                <anchor moveWithCells="1" sizeWithCells="1">
                  <from>
                    <xdr:col>2</xdr:col>
                    <xdr:colOff>133350</xdr:colOff>
                    <xdr:row>19</xdr:row>
                    <xdr:rowOff>127000</xdr:rowOff>
                  </from>
                  <to>
                    <xdr:col>4</xdr:col>
                    <xdr:colOff>114300</xdr:colOff>
                    <xdr:row>20</xdr:row>
                    <xdr:rowOff>190500</xdr:rowOff>
                  </to>
                </anchor>
              </controlPr>
            </control>
          </mc:Choice>
        </mc:AlternateContent>
        <mc:AlternateContent xmlns:mc="http://schemas.openxmlformats.org/markup-compatibility/2006">
          <mc:Choice Requires="x14">
            <control shapeId="36869" r:id="rId7" name="Button 5">
              <controlPr defaultSize="0" print="0" autoFill="0" autoPict="0" macro="[0]!submit_customer_signoff">
                <anchor moveWithCells="1" sizeWithCells="1">
                  <from>
                    <xdr:col>2</xdr:col>
                    <xdr:colOff>133350</xdr:colOff>
                    <xdr:row>21</xdr:row>
                    <xdr:rowOff>44450</xdr:rowOff>
                  </from>
                  <to>
                    <xdr:col>4</xdr:col>
                    <xdr:colOff>114300</xdr:colOff>
                    <xdr:row>22</xdr:row>
                    <xdr:rowOff>107950</xdr:rowOff>
                  </to>
                </anchor>
              </controlPr>
            </control>
          </mc:Choice>
        </mc:AlternateContent>
      </controls>
    </mc:Choice>
  </mc:AlternateConten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1:H29"/>
  <sheetViews>
    <sheetView workbookViewId="0"/>
  </sheetViews>
  <sheetFormatPr defaultRowHeight="16" customHeight="1"/>
  <cols>
    <col min="1" max="1" width="19.36328125" style="1" bestFit="1" customWidth="1"/>
    <col min="2" max="2" width="25.90625" style="1" customWidth="1"/>
    <col min="3" max="3" width="3.6328125" style="1" customWidth="1"/>
    <col min="4" max="4" width="18.90625" style="1" bestFit="1" customWidth="1"/>
    <col min="5" max="5" width="30" style="1" customWidth="1"/>
    <col min="6" max="6" width="3.6328125" style="1" customWidth="1"/>
    <col min="7" max="7" width="15.7265625" style="1" customWidth="1"/>
    <col min="8" max="8" width="22.26953125" style="1" customWidth="1"/>
    <col min="9" max="16384" width="8.7265625" style="1"/>
  </cols>
  <sheetData>
    <row r="1" spans="1:8" ht="16" customHeight="1">
      <c r="A1" s="3" t="s">
        <v>492</v>
      </c>
      <c r="G1" s="3" t="s">
        <v>520</v>
      </c>
    </row>
    <row r="3" spans="1:8" ht="16" customHeight="1">
      <c r="A3" s="135" t="s">
        <v>493</v>
      </c>
      <c r="B3" s="136" t="s">
        <v>845</v>
      </c>
      <c r="D3" s="135" t="s">
        <v>501</v>
      </c>
      <c r="E3" s="136" t="s">
        <v>558</v>
      </c>
      <c r="G3" s="135" t="s">
        <v>511</v>
      </c>
      <c r="H3" s="131">
        <v>10000000</v>
      </c>
    </row>
    <row r="4" spans="1:8" ht="16" customHeight="1">
      <c r="A4" s="135" t="s">
        <v>496</v>
      </c>
      <c r="B4" s="131">
        <v>1200000000</v>
      </c>
      <c r="D4" s="135" t="s">
        <v>502</v>
      </c>
      <c r="E4" s="136" t="s">
        <v>559</v>
      </c>
      <c r="G4" s="135" t="s">
        <v>512</v>
      </c>
      <c r="H4" s="114">
        <v>449058245</v>
      </c>
    </row>
    <row r="5" spans="1:8" ht="16" customHeight="1">
      <c r="A5" s="135" t="s">
        <v>494</v>
      </c>
      <c r="B5" s="76">
        <v>44652</v>
      </c>
      <c r="D5" s="135" t="s">
        <v>503</v>
      </c>
      <c r="E5" s="136" t="s">
        <v>560</v>
      </c>
      <c r="G5" s="135" t="s">
        <v>490</v>
      </c>
      <c r="H5" s="76">
        <v>44772</v>
      </c>
    </row>
    <row r="6" spans="1:8" ht="16" customHeight="1">
      <c r="A6" s="135" t="s">
        <v>495</v>
      </c>
      <c r="B6" s="76">
        <v>45016</v>
      </c>
      <c r="D6" s="135" t="s">
        <v>504</v>
      </c>
      <c r="E6" s="142" t="s">
        <v>561</v>
      </c>
      <c r="G6" s="135" t="s">
        <v>514</v>
      </c>
      <c r="H6" s="136" t="s">
        <v>839</v>
      </c>
    </row>
    <row r="7" spans="1:8" ht="16" customHeight="1">
      <c r="A7" s="135" t="s">
        <v>497</v>
      </c>
      <c r="B7" s="136" t="s">
        <v>554</v>
      </c>
      <c r="D7" s="135" t="s">
        <v>505</v>
      </c>
      <c r="E7" s="60" t="s">
        <v>591</v>
      </c>
      <c r="G7" s="135" t="s">
        <v>515</v>
      </c>
      <c r="H7" s="136" t="s">
        <v>840</v>
      </c>
    </row>
    <row r="8" spans="1:8" ht="16" customHeight="1">
      <c r="A8" s="135" t="s">
        <v>498</v>
      </c>
      <c r="B8" s="136" t="s">
        <v>596</v>
      </c>
      <c r="D8" s="135" t="s">
        <v>506</v>
      </c>
      <c r="E8" s="60" t="s">
        <v>592</v>
      </c>
      <c r="G8" s="135" t="s">
        <v>516</v>
      </c>
      <c r="H8" s="136" t="s">
        <v>841</v>
      </c>
    </row>
    <row r="9" spans="1:8" ht="16" customHeight="1">
      <c r="A9" s="135" t="s">
        <v>499</v>
      </c>
      <c r="B9" s="136" t="s">
        <v>521</v>
      </c>
      <c r="D9" s="135" t="s">
        <v>507</v>
      </c>
      <c r="E9" s="60" t="s">
        <v>593</v>
      </c>
      <c r="G9" s="135" t="s">
        <v>517</v>
      </c>
      <c r="H9" s="136" t="s">
        <v>842</v>
      </c>
    </row>
    <row r="10" spans="1:8" ht="16" customHeight="1">
      <c r="A10" s="135" t="s">
        <v>513</v>
      </c>
      <c r="B10" s="130">
        <v>44645</v>
      </c>
      <c r="D10" s="135" t="s">
        <v>508</v>
      </c>
      <c r="E10" s="136" t="s">
        <v>594</v>
      </c>
      <c r="G10" s="135" t="s">
        <v>518</v>
      </c>
      <c r="H10" s="136" t="s">
        <v>843</v>
      </c>
    </row>
    <row r="11" spans="1:8" ht="16" customHeight="1">
      <c r="D11" s="135" t="s">
        <v>509</v>
      </c>
      <c r="E11" s="136" t="s">
        <v>595</v>
      </c>
      <c r="G11" s="135" t="s">
        <v>519</v>
      </c>
      <c r="H11" s="136" t="s">
        <v>844</v>
      </c>
    </row>
    <row r="12" spans="1:8" ht="16" customHeight="1">
      <c r="A12" s="135" t="s">
        <v>470</v>
      </c>
      <c r="B12" s="60" t="str">
        <f>Contract!B3</f>
        <v>Shinhan Card</v>
      </c>
      <c r="D12" s="135" t="s">
        <v>510</v>
      </c>
      <c r="E12" s="136"/>
    </row>
    <row r="13" spans="1:8" ht="16" customHeight="1">
      <c r="A13" s="135" t="s">
        <v>471</v>
      </c>
      <c r="B13" s="60" t="str">
        <f>Contract!B4</f>
        <v>Cloudera infra support</v>
      </c>
      <c r="D13" s="135" t="s">
        <v>522</v>
      </c>
      <c r="E13" s="44" t="s">
        <v>523</v>
      </c>
    </row>
    <row r="14" spans="1:8" ht="16" customHeight="1">
      <c r="A14" s="135" t="s">
        <v>207</v>
      </c>
      <c r="B14" s="60" t="str">
        <f>Contract!B5</f>
        <v>KR3-PCS01.05</v>
      </c>
    </row>
    <row r="15" spans="1:8" ht="16" customHeight="1">
      <c r="A15" s="135" t="s">
        <v>500</v>
      </c>
      <c r="B15" s="60" t="str">
        <f>Contract!B7</f>
        <v>Park, Shin Wook</v>
      </c>
    </row>
    <row r="16" spans="1:8" ht="16" customHeight="1">
      <c r="A16" s="135" t="s">
        <v>480</v>
      </c>
      <c r="B16" s="60" t="str">
        <f>Contract!B8</f>
        <v>Manager</v>
      </c>
    </row>
    <row r="17" spans="1:7" ht="16" customHeight="1">
      <c r="A17" s="135" t="s">
        <v>481</v>
      </c>
      <c r="B17" s="60" t="str">
        <f>Contract!B9</f>
        <v>010-2581-0613</v>
      </c>
    </row>
    <row r="18" spans="1:7" ht="16" customHeight="1">
      <c r="A18" s="135" t="s">
        <v>482</v>
      </c>
      <c r="B18" s="60" t="str">
        <f>Contract!B10</f>
        <v>shin-wook.park@hpe.com</v>
      </c>
    </row>
    <row r="19" spans="1:7" ht="16" customHeight="1">
      <c r="A19" s="282" t="s">
        <v>838</v>
      </c>
      <c r="B19" s="284" t="str">
        <f>DI.ClientPrincipal</f>
        <v>Lee, Jung Heui</v>
      </c>
    </row>
    <row r="21" spans="1:7" ht="16" customHeight="1">
      <c r="A21" s="2" t="s">
        <v>600</v>
      </c>
    </row>
    <row r="22" spans="1:7" ht="39" customHeight="1">
      <c r="A22" s="440" t="s">
        <v>597</v>
      </c>
      <c r="B22" s="440"/>
      <c r="D22" s="480" t="s">
        <v>598</v>
      </c>
      <c r="E22" s="461"/>
      <c r="F22" s="461"/>
      <c r="G22" s="461"/>
    </row>
    <row r="23" spans="1:7" ht="45.5" customHeight="1">
      <c r="A23" s="440" t="s">
        <v>555</v>
      </c>
      <c r="B23" s="440"/>
      <c r="D23" s="480" t="s">
        <v>599</v>
      </c>
      <c r="E23" s="461"/>
      <c r="F23" s="461"/>
      <c r="G23" s="461"/>
    </row>
    <row r="24" spans="1:7" ht="63" customHeight="1">
      <c r="A24" s="440" t="s">
        <v>550</v>
      </c>
      <c r="B24" s="440"/>
      <c r="D24" s="480" t="s">
        <v>601</v>
      </c>
      <c r="E24" s="461"/>
      <c r="F24" s="461"/>
      <c r="G24" s="461"/>
    </row>
    <row r="25" spans="1:7" ht="15.5" customHeight="1"/>
    <row r="26" spans="1:7" ht="15.5" customHeight="1">
      <c r="A26" s="2" t="s">
        <v>557</v>
      </c>
    </row>
    <row r="27" spans="1:7" ht="48" customHeight="1">
      <c r="A27" s="440" t="s">
        <v>556</v>
      </c>
      <c r="B27" s="440"/>
      <c r="D27" s="480" t="s">
        <v>562</v>
      </c>
      <c r="E27" s="461"/>
      <c r="F27" s="461"/>
      <c r="G27" s="461"/>
    </row>
    <row r="28" spans="1:7" ht="50" customHeight="1">
      <c r="A28" s="440" t="s">
        <v>551</v>
      </c>
      <c r="B28" s="440"/>
      <c r="D28" s="480" t="s">
        <v>563</v>
      </c>
      <c r="E28" s="461"/>
      <c r="F28" s="461"/>
      <c r="G28" s="461"/>
    </row>
    <row r="29" spans="1:7" ht="15.5" customHeight="1"/>
  </sheetData>
  <mergeCells count="10">
    <mergeCell ref="A28:B28"/>
    <mergeCell ref="D28:G28"/>
    <mergeCell ref="A23:B23"/>
    <mergeCell ref="D23:G23"/>
    <mergeCell ref="A22:B22"/>
    <mergeCell ref="D22:G22"/>
    <mergeCell ref="A24:B24"/>
    <mergeCell ref="D24:G24"/>
    <mergeCell ref="A27:B27"/>
    <mergeCell ref="D27:G27"/>
  </mergeCells>
  <phoneticPr fontId="13" type="noConversion"/>
  <dataValidations count="1">
    <dataValidation type="list" allowBlank="1" showInputMessage="1" showErrorMessage="1" sqref="E13">
      <formula1>"프로젝트 하도급,솔루션 공급"</formula1>
    </dataValidation>
  </dataValidations>
  <hyperlinks>
    <hyperlink ref="E6" r:id="rId1"/>
  </hyperlinks>
  <pageMargins left="0.7" right="0.7" top="0.75" bottom="0.75" header="0.3" footer="0.3"/>
  <pageSetup paperSize="9" orientation="portrait" r:id="rId2"/>
  <drawing r:id="rId3"/>
  <legacyDrawing r:id="rId4"/>
  <mc:AlternateContent xmlns:mc="http://schemas.openxmlformats.org/markup-compatibility/2006">
    <mc:Choice Requires="x14">
      <controls>
        <mc:AlternateContent xmlns:mc="http://schemas.openxmlformats.org/markup-compatibility/2006">
          <mc:Choice Requires="x14">
            <control shapeId="50177" r:id="rId5" name="Button 1">
              <controlPr defaultSize="0" print="0" autoFill="0" autoPict="0" macro="[0]!make_3PSOW">
                <anchor moveWithCells="1" sizeWithCells="1">
                  <from>
                    <xdr:col>1</xdr:col>
                    <xdr:colOff>44450</xdr:colOff>
                    <xdr:row>0</xdr:row>
                    <xdr:rowOff>57150</xdr:rowOff>
                  </from>
                  <to>
                    <xdr:col>1</xdr:col>
                    <xdr:colOff>1619250</xdr:colOff>
                    <xdr:row>1</xdr:row>
                    <xdr:rowOff>95250</xdr:rowOff>
                  </to>
                </anchor>
              </controlPr>
            </control>
          </mc:Choice>
        </mc:AlternateContent>
        <mc:AlternateContent xmlns:mc="http://schemas.openxmlformats.org/markup-compatibility/2006">
          <mc:Choice Requires="x14">
            <control shapeId="50178" r:id="rId6" name="Button 2">
              <controlPr defaultSize="0" print="0" autoFill="0" autoPict="0" macro="[0]!make_3PSignoff">
                <anchor moveWithCells="1" sizeWithCells="1">
                  <from>
                    <xdr:col>7</xdr:col>
                    <xdr:colOff>44450</xdr:colOff>
                    <xdr:row>0</xdr:row>
                    <xdr:rowOff>50800</xdr:rowOff>
                  </from>
                  <to>
                    <xdr:col>7</xdr:col>
                    <xdr:colOff>1517650</xdr:colOff>
                    <xdr:row>1</xdr:row>
                    <xdr:rowOff>82550</xdr:rowOff>
                  </to>
                </anchor>
              </controlPr>
            </control>
          </mc:Choice>
        </mc:AlternateContent>
        <mc:AlternateContent xmlns:mc="http://schemas.openxmlformats.org/markup-compatibility/2006">
          <mc:Choice Requires="x14">
            <control shapeId="50179" r:id="rId7" name="Button 3">
              <controlPr defaultSize="0" print="0" autoFill="0" autoPict="0" macro="[0]!mail_for_vendor_signoff">
                <anchor moveWithCells="1" sizeWithCells="1">
                  <from>
                    <xdr:col>8</xdr:col>
                    <xdr:colOff>57150</xdr:colOff>
                    <xdr:row>0</xdr:row>
                    <xdr:rowOff>50800</xdr:rowOff>
                  </from>
                  <to>
                    <xdr:col>10</xdr:col>
                    <xdr:colOff>311150</xdr:colOff>
                    <xdr:row>1</xdr:row>
                    <xdr:rowOff>82550</xdr:rowOff>
                  </to>
                </anchor>
              </controlPr>
            </control>
          </mc:Choice>
        </mc:AlternateContent>
        <mc:AlternateContent xmlns:mc="http://schemas.openxmlformats.org/markup-compatibility/2006">
          <mc:Choice Requires="x14">
            <control shapeId="50180" r:id="rId8" name="Button 4">
              <controlPr defaultSize="0" print="0" autoFill="0" autoPict="0" macro="[0]!submit_vendor_signoff">
                <anchor moveWithCells="1" sizeWithCells="1">
                  <from>
                    <xdr:col>8</xdr:col>
                    <xdr:colOff>50800</xdr:colOff>
                    <xdr:row>1</xdr:row>
                    <xdr:rowOff>133350</xdr:rowOff>
                  </from>
                  <to>
                    <xdr:col>10</xdr:col>
                    <xdr:colOff>304800</xdr:colOff>
                    <xdr:row>2</xdr:row>
                    <xdr:rowOff>165100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
  <sheetViews>
    <sheetView workbookViewId="0"/>
  </sheetViews>
  <sheetFormatPr defaultRowHeight="11.5"/>
  <sheetData/>
  <phoneticPr fontId="13" type="noConversion"/>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63"/>
  <sheetViews>
    <sheetView workbookViewId="0">
      <selection activeCell="A3" sqref="A3:C9"/>
    </sheetView>
  </sheetViews>
  <sheetFormatPr defaultRowHeight="16" customHeight="1"/>
  <cols>
    <col min="1" max="1" width="16.6328125" style="10" bestFit="1" customWidth="1"/>
    <col min="2" max="2" width="6.6328125" style="10" customWidth="1"/>
    <col min="3" max="3" width="12.1796875" style="10" customWidth="1"/>
    <col min="4" max="4" width="8.7265625" style="10"/>
    <col min="5" max="5" width="15.7265625" style="10" customWidth="1"/>
    <col min="6" max="6" width="31.54296875" style="10" customWidth="1"/>
    <col min="7" max="7" width="29.6328125" style="10" bestFit="1" customWidth="1"/>
    <col min="8" max="8" width="8.7265625" style="10"/>
    <col min="9" max="9" width="8.26953125" style="10" customWidth="1"/>
    <col min="10" max="10" width="31.90625" style="10" customWidth="1"/>
    <col min="11" max="16384" width="8.7265625" style="10"/>
  </cols>
  <sheetData>
    <row r="1" spans="1:9" ht="16" customHeight="1">
      <c r="A1" s="3" t="s">
        <v>43</v>
      </c>
    </row>
    <row r="3" spans="1:9" ht="16" customHeight="1">
      <c r="A3" s="2" t="s">
        <v>44</v>
      </c>
      <c r="E3" s="2" t="s">
        <v>94</v>
      </c>
      <c r="I3" s="2" t="s">
        <v>157</v>
      </c>
    </row>
    <row r="4" spans="1:9" ht="16" customHeight="1">
      <c r="A4" s="6" t="s">
        <v>21</v>
      </c>
      <c r="B4" s="8"/>
      <c r="C4" s="7"/>
      <c r="E4" s="37" t="s">
        <v>80</v>
      </c>
      <c r="F4" s="37" t="s">
        <v>95</v>
      </c>
      <c r="G4" s="37" t="s">
        <v>139</v>
      </c>
      <c r="I4" s="10" t="s">
        <v>165</v>
      </c>
    </row>
    <row r="5" spans="1:9" ht="16" customHeight="1">
      <c r="A5" s="14" t="s">
        <v>7</v>
      </c>
      <c r="B5" s="14" t="s">
        <v>8</v>
      </c>
      <c r="C5" s="15" t="s">
        <v>9</v>
      </c>
      <c r="E5" s="42" t="s">
        <v>96</v>
      </c>
      <c r="F5" s="42" t="s">
        <v>117</v>
      </c>
      <c r="G5" s="42" t="s">
        <v>140</v>
      </c>
      <c r="I5" s="6" t="s">
        <v>158</v>
      </c>
    </row>
    <row r="6" spans="1:9" ht="16" customHeight="1">
      <c r="A6" s="6" t="s">
        <v>34</v>
      </c>
      <c r="B6" s="6" t="s">
        <v>12</v>
      </c>
      <c r="C6" s="7">
        <v>71104</v>
      </c>
      <c r="E6" s="42" t="s">
        <v>97</v>
      </c>
      <c r="F6" s="42" t="s">
        <v>118</v>
      </c>
      <c r="G6" s="42" t="s">
        <v>140</v>
      </c>
      <c r="I6" s="6" t="s">
        <v>159</v>
      </c>
    </row>
    <row r="7" spans="1:9" ht="16" customHeight="1">
      <c r="A7" s="6" t="s">
        <v>35</v>
      </c>
      <c r="B7" s="6" t="s">
        <v>14</v>
      </c>
      <c r="C7" s="7">
        <v>97455</v>
      </c>
      <c r="E7" s="42" t="s">
        <v>98</v>
      </c>
      <c r="F7" s="42" t="s">
        <v>119</v>
      </c>
      <c r="G7" s="42" t="s">
        <v>140</v>
      </c>
      <c r="I7" s="6" t="s">
        <v>160</v>
      </c>
    </row>
    <row r="8" spans="1:9" ht="16" customHeight="1">
      <c r="A8" s="6" t="s">
        <v>36</v>
      </c>
      <c r="B8" s="6" t="s">
        <v>15</v>
      </c>
      <c r="C8" s="7">
        <v>113417</v>
      </c>
      <c r="E8" s="42" t="s">
        <v>99</v>
      </c>
      <c r="F8" s="42" t="s">
        <v>120</v>
      </c>
      <c r="G8" s="42" t="s">
        <v>140</v>
      </c>
      <c r="I8" s="6" t="s">
        <v>161</v>
      </c>
    </row>
    <row r="9" spans="1:9" ht="16" customHeight="1">
      <c r="A9" s="6" t="s">
        <v>37</v>
      </c>
      <c r="B9" s="6" t="s">
        <v>61</v>
      </c>
      <c r="C9" s="7">
        <v>141213</v>
      </c>
      <c r="E9" s="42" t="s">
        <v>100</v>
      </c>
      <c r="F9" s="42" t="s">
        <v>121</v>
      </c>
      <c r="G9" s="42" t="s">
        <v>140</v>
      </c>
      <c r="I9" s="6" t="s">
        <v>162</v>
      </c>
    </row>
    <row r="10" spans="1:9" ht="16" customHeight="1">
      <c r="E10" s="42" t="s">
        <v>101</v>
      </c>
      <c r="F10" s="42" t="s">
        <v>122</v>
      </c>
      <c r="G10" s="42" t="s">
        <v>140</v>
      </c>
      <c r="I10" s="6" t="s">
        <v>163</v>
      </c>
    </row>
    <row r="11" spans="1:9" ht="16" customHeight="1">
      <c r="A11" s="2" t="s">
        <v>45</v>
      </c>
      <c r="E11" s="42" t="s">
        <v>93</v>
      </c>
      <c r="F11" s="42" t="s">
        <v>123</v>
      </c>
      <c r="G11" s="42" t="s">
        <v>141</v>
      </c>
      <c r="I11" s="6" t="s">
        <v>164</v>
      </c>
    </row>
    <row r="12" spans="1:9" ht="16" customHeight="1">
      <c r="A12" s="14" t="s">
        <v>46</v>
      </c>
      <c r="B12" s="441">
        <v>75000</v>
      </c>
      <c r="C12" s="441"/>
      <c r="E12" s="43" t="s">
        <v>103</v>
      </c>
      <c r="F12" s="42" t="s">
        <v>124</v>
      </c>
      <c r="G12" s="42" t="s">
        <v>141</v>
      </c>
    </row>
    <row r="13" spans="1:9" ht="16" customHeight="1">
      <c r="A13" s="14" t="s">
        <v>47</v>
      </c>
      <c r="B13" s="441">
        <v>250000</v>
      </c>
      <c r="C13" s="441"/>
      <c r="E13" s="42" t="s">
        <v>102</v>
      </c>
      <c r="F13" s="42" t="s">
        <v>125</v>
      </c>
      <c r="G13" s="42" t="s">
        <v>141</v>
      </c>
      <c r="I13" s="2" t="s">
        <v>278</v>
      </c>
    </row>
    <row r="14" spans="1:9" ht="16" customHeight="1">
      <c r="A14" s="14" t="s">
        <v>48</v>
      </c>
      <c r="B14" s="441">
        <v>500000</v>
      </c>
      <c r="C14" s="441"/>
      <c r="E14" s="42" t="s">
        <v>104</v>
      </c>
      <c r="F14" s="42" t="s">
        <v>126</v>
      </c>
      <c r="G14" s="42" t="s">
        <v>141</v>
      </c>
      <c r="I14" s="2" t="s">
        <v>279</v>
      </c>
    </row>
    <row r="15" spans="1:9" ht="16" customHeight="1">
      <c r="E15" s="42" t="s">
        <v>105</v>
      </c>
      <c r="F15" s="42" t="s">
        <v>127</v>
      </c>
      <c r="G15" s="42" t="s">
        <v>141</v>
      </c>
      <c r="I15" s="2" t="s">
        <v>280</v>
      </c>
    </row>
    <row r="16" spans="1:9" ht="16" customHeight="1">
      <c r="A16" s="2" t="s">
        <v>49</v>
      </c>
      <c r="E16" s="42" t="s">
        <v>106</v>
      </c>
      <c r="F16" s="42" t="s">
        <v>128</v>
      </c>
      <c r="G16" s="42" t="s">
        <v>141</v>
      </c>
      <c r="I16" s="2" t="s">
        <v>281</v>
      </c>
    </row>
    <row r="17" spans="1:9" ht="16" customHeight="1">
      <c r="A17" s="14" t="s">
        <v>50</v>
      </c>
      <c r="B17" s="13">
        <v>0.16</v>
      </c>
      <c r="E17" s="42" t="s">
        <v>107</v>
      </c>
      <c r="F17" s="42" t="s">
        <v>129</v>
      </c>
      <c r="G17" s="42" t="s">
        <v>141</v>
      </c>
      <c r="I17" s="2" t="s">
        <v>282</v>
      </c>
    </row>
    <row r="18" spans="1:9" ht="16" customHeight="1">
      <c r="A18" s="14" t="s">
        <v>51</v>
      </c>
      <c r="B18" s="13">
        <v>0.13</v>
      </c>
      <c r="E18" s="42" t="s">
        <v>108</v>
      </c>
      <c r="F18" s="42" t="s">
        <v>130</v>
      </c>
      <c r="G18" s="42" t="s">
        <v>142</v>
      </c>
      <c r="I18" s="2" t="s">
        <v>283</v>
      </c>
    </row>
    <row r="19" spans="1:9" ht="16" customHeight="1">
      <c r="B19" s="12"/>
      <c r="E19" s="42" t="s">
        <v>109</v>
      </c>
      <c r="F19" s="42" t="s">
        <v>131</v>
      </c>
      <c r="G19" s="42" t="s">
        <v>142</v>
      </c>
      <c r="I19" s="2" t="s">
        <v>284</v>
      </c>
    </row>
    <row r="20" spans="1:9" ht="16" customHeight="1">
      <c r="E20" s="42" t="s">
        <v>110</v>
      </c>
      <c r="F20" s="42" t="s">
        <v>132</v>
      </c>
      <c r="G20" s="42" t="s">
        <v>142</v>
      </c>
      <c r="I20" s="2" t="s">
        <v>285</v>
      </c>
    </row>
    <row r="21" spans="1:9" ht="16" customHeight="1">
      <c r="A21" s="2" t="s">
        <v>179</v>
      </c>
      <c r="E21" s="42" t="s">
        <v>111</v>
      </c>
      <c r="F21" s="42" t="s">
        <v>133</v>
      </c>
      <c r="G21" s="42" t="s">
        <v>142</v>
      </c>
      <c r="I21" s="2" t="s">
        <v>286</v>
      </c>
    </row>
    <row r="22" spans="1:9" ht="16" customHeight="1">
      <c r="A22" s="10" t="s">
        <v>180</v>
      </c>
      <c r="E22" s="42" t="s">
        <v>112</v>
      </c>
      <c r="F22" s="42" t="s">
        <v>134</v>
      </c>
      <c r="G22" s="42" t="s">
        <v>143</v>
      </c>
      <c r="I22" s="2" t="s">
        <v>287</v>
      </c>
    </row>
    <row r="23" spans="1:9" ht="16" customHeight="1">
      <c r="A23" s="10" t="s">
        <v>181</v>
      </c>
      <c r="E23" s="42" t="s">
        <v>113</v>
      </c>
      <c r="F23" s="42" t="s">
        <v>135</v>
      </c>
      <c r="G23" s="42" t="s">
        <v>143</v>
      </c>
      <c r="I23" s="2" t="s">
        <v>288</v>
      </c>
    </row>
    <row r="24" spans="1:9" ht="16" customHeight="1">
      <c r="A24" s="10" t="s">
        <v>182</v>
      </c>
      <c r="E24" s="42" t="s">
        <v>114</v>
      </c>
      <c r="F24" s="42" t="s">
        <v>136</v>
      </c>
      <c r="G24" s="42" t="s">
        <v>144</v>
      </c>
    </row>
    <row r="25" spans="1:9" ht="16" customHeight="1">
      <c r="A25" s="10" t="s">
        <v>183</v>
      </c>
      <c r="E25" s="42" t="s">
        <v>115</v>
      </c>
      <c r="F25" s="42" t="s">
        <v>137</v>
      </c>
      <c r="G25" s="42" t="s">
        <v>144</v>
      </c>
    </row>
    <row r="26" spans="1:9" ht="16" customHeight="1">
      <c r="E26" s="42" t="s">
        <v>116</v>
      </c>
      <c r="F26" s="42" t="s">
        <v>138</v>
      </c>
      <c r="G26" s="42" t="s">
        <v>145</v>
      </c>
    </row>
    <row r="27" spans="1:9" ht="16" customHeight="1">
      <c r="A27" s="2" t="s">
        <v>298</v>
      </c>
      <c r="I27" s="2" t="s">
        <v>401</v>
      </c>
    </row>
    <row r="28" spans="1:9" ht="16" customHeight="1">
      <c r="A28" s="10" t="s">
        <v>299</v>
      </c>
      <c r="E28" s="2" t="s">
        <v>393</v>
      </c>
      <c r="I28" s="10" t="s">
        <v>408</v>
      </c>
    </row>
    <row r="29" spans="1:9" ht="16" customHeight="1">
      <c r="A29" s="10" t="s">
        <v>300</v>
      </c>
      <c r="E29" s="2" t="s">
        <v>394</v>
      </c>
      <c r="I29" s="10" t="s">
        <v>402</v>
      </c>
    </row>
    <row r="30" spans="1:9" ht="16" customHeight="1">
      <c r="A30" s="10" t="s">
        <v>301</v>
      </c>
      <c r="E30" s="2" t="s">
        <v>395</v>
      </c>
      <c r="I30" s="10" t="s">
        <v>403</v>
      </c>
    </row>
    <row r="31" spans="1:9" ht="16" customHeight="1">
      <c r="A31" s="10" t="s">
        <v>891</v>
      </c>
      <c r="E31" s="2" t="s">
        <v>398</v>
      </c>
      <c r="I31" s="10" t="s">
        <v>404</v>
      </c>
    </row>
    <row r="32" spans="1:9" ht="16" customHeight="1">
      <c r="A32" s="10" t="s">
        <v>302</v>
      </c>
      <c r="E32" s="2" t="s">
        <v>396</v>
      </c>
      <c r="I32" s="10" t="s">
        <v>405</v>
      </c>
    </row>
    <row r="33" spans="1:9" ht="16" customHeight="1">
      <c r="A33" s="10" t="s">
        <v>303</v>
      </c>
      <c r="E33" s="2" t="s">
        <v>397</v>
      </c>
      <c r="I33" s="10" t="s">
        <v>406</v>
      </c>
    </row>
    <row r="34" spans="1:9" ht="16" customHeight="1">
      <c r="A34" s="10" t="s">
        <v>304</v>
      </c>
      <c r="I34" s="10" t="s">
        <v>407</v>
      </c>
    </row>
    <row r="35" spans="1:9" ht="16" customHeight="1">
      <c r="A35" s="10" t="s">
        <v>305</v>
      </c>
      <c r="E35" s="2" t="s">
        <v>410</v>
      </c>
      <c r="I35" s="10" t="s">
        <v>409</v>
      </c>
    </row>
    <row r="36" spans="1:9" ht="16" customHeight="1">
      <c r="A36" s="10" t="s">
        <v>306</v>
      </c>
      <c r="E36" s="10" t="s">
        <v>411</v>
      </c>
    </row>
    <row r="37" spans="1:9" ht="16" customHeight="1">
      <c r="A37" s="10" t="s">
        <v>307</v>
      </c>
      <c r="E37" s="10" t="s">
        <v>412</v>
      </c>
      <c r="I37" s="2" t="s">
        <v>416</v>
      </c>
    </row>
    <row r="38" spans="1:9" ht="16" customHeight="1">
      <c r="A38" s="10" t="s">
        <v>308</v>
      </c>
      <c r="E38" s="10" t="s">
        <v>413</v>
      </c>
      <c r="I38" s="10" t="s">
        <v>417</v>
      </c>
    </row>
    <row r="39" spans="1:9" ht="16" customHeight="1">
      <c r="A39" s="10" t="s">
        <v>309</v>
      </c>
      <c r="E39" s="10" t="s">
        <v>414</v>
      </c>
      <c r="I39" s="10" t="s">
        <v>418</v>
      </c>
    </row>
    <row r="40" spans="1:9" ht="16" customHeight="1">
      <c r="A40" s="10" t="s">
        <v>310</v>
      </c>
      <c r="E40" s="10" t="s">
        <v>415</v>
      </c>
      <c r="I40" s="10" t="s">
        <v>419</v>
      </c>
    </row>
    <row r="41" spans="1:9" ht="16" customHeight="1">
      <c r="I41" s="10" t="s">
        <v>420</v>
      </c>
    </row>
    <row r="42" spans="1:9" ht="16" customHeight="1">
      <c r="E42" s="2" t="s">
        <v>737</v>
      </c>
      <c r="I42" s="10" t="s">
        <v>421</v>
      </c>
    </row>
    <row r="43" spans="1:9" ht="16" customHeight="1">
      <c r="E43" s="280" t="s">
        <v>738</v>
      </c>
      <c r="F43" s="280" t="s">
        <v>739</v>
      </c>
      <c r="G43" s="280" t="s">
        <v>740</v>
      </c>
      <c r="I43" s="10" t="s">
        <v>415</v>
      </c>
    </row>
    <row r="44" spans="1:9" ht="16" customHeight="1">
      <c r="E44" s="10" t="s">
        <v>741</v>
      </c>
      <c r="F44" s="10" t="s">
        <v>767</v>
      </c>
      <c r="G44" s="10" t="s">
        <v>760</v>
      </c>
    </row>
    <row r="45" spans="1:9" ht="16" customHeight="1">
      <c r="E45" s="10" t="s">
        <v>742</v>
      </c>
      <c r="F45" s="10" t="s">
        <v>768</v>
      </c>
      <c r="G45" s="10" t="s">
        <v>761</v>
      </c>
    </row>
    <row r="46" spans="1:9" ht="16" customHeight="1">
      <c r="E46" s="10" t="s">
        <v>743</v>
      </c>
      <c r="F46" s="10" t="s">
        <v>769</v>
      </c>
      <c r="G46" s="10" t="s">
        <v>788</v>
      </c>
    </row>
    <row r="47" spans="1:9" ht="16" customHeight="1">
      <c r="E47" s="10" t="s">
        <v>744</v>
      </c>
      <c r="F47" s="10" t="s">
        <v>770</v>
      </c>
      <c r="G47" s="10" t="s">
        <v>762</v>
      </c>
    </row>
    <row r="48" spans="1:9" ht="16" customHeight="1">
      <c r="E48" s="10" t="s">
        <v>745</v>
      </c>
      <c r="F48" s="10" t="s">
        <v>771</v>
      </c>
      <c r="G48" s="10" t="s">
        <v>789</v>
      </c>
    </row>
    <row r="49" spans="5:7" ht="16" customHeight="1">
      <c r="E49" s="10" t="s">
        <v>746</v>
      </c>
      <c r="F49" s="10" t="s">
        <v>772</v>
      </c>
      <c r="G49" s="10" t="s">
        <v>763</v>
      </c>
    </row>
    <row r="50" spans="5:7" ht="16" customHeight="1">
      <c r="E50" s="10" t="s">
        <v>747</v>
      </c>
      <c r="F50" s="10" t="s">
        <v>773</v>
      </c>
      <c r="G50" s="10" t="s">
        <v>790</v>
      </c>
    </row>
    <row r="51" spans="5:7" ht="16" customHeight="1">
      <c r="E51" s="10" t="s">
        <v>748</v>
      </c>
      <c r="F51" s="10" t="s">
        <v>774</v>
      </c>
      <c r="G51" s="10" t="s">
        <v>764</v>
      </c>
    </row>
    <row r="52" spans="5:7" ht="16" customHeight="1">
      <c r="E52" s="10" t="s">
        <v>749</v>
      </c>
      <c r="F52" s="10" t="s">
        <v>775</v>
      </c>
      <c r="G52" s="10" t="s">
        <v>791</v>
      </c>
    </row>
    <row r="53" spans="5:7" ht="16" customHeight="1">
      <c r="E53" s="10" t="s">
        <v>750</v>
      </c>
      <c r="F53" s="10" t="s">
        <v>776</v>
      </c>
      <c r="G53" s="10" t="s">
        <v>792</v>
      </c>
    </row>
    <row r="54" spans="5:7" ht="16" customHeight="1">
      <c r="E54" s="10" t="s">
        <v>751</v>
      </c>
      <c r="F54" s="10" t="s">
        <v>777</v>
      </c>
      <c r="G54" s="10" t="s">
        <v>765</v>
      </c>
    </row>
    <row r="55" spans="5:7" ht="16" customHeight="1">
      <c r="E55" s="10" t="s">
        <v>752</v>
      </c>
      <c r="F55" s="10" t="s">
        <v>778</v>
      </c>
      <c r="G55" s="10" t="s">
        <v>766</v>
      </c>
    </row>
    <row r="56" spans="5:7" ht="16" customHeight="1">
      <c r="E56" s="10" t="s">
        <v>753</v>
      </c>
      <c r="F56" s="10" t="s">
        <v>779</v>
      </c>
      <c r="G56" s="10" t="s">
        <v>793</v>
      </c>
    </row>
    <row r="57" spans="5:7" ht="16" customHeight="1">
      <c r="E57" s="10" t="s">
        <v>754</v>
      </c>
      <c r="F57" s="10" t="s">
        <v>780</v>
      </c>
      <c r="G57" s="10" t="s">
        <v>794</v>
      </c>
    </row>
    <row r="58" spans="5:7" ht="16" customHeight="1">
      <c r="E58" s="10" t="s">
        <v>755</v>
      </c>
      <c r="F58" s="10" t="s">
        <v>781</v>
      </c>
      <c r="G58" s="10" t="s">
        <v>795</v>
      </c>
    </row>
    <row r="59" spans="5:7" ht="16" customHeight="1">
      <c r="E59" s="10" t="s">
        <v>756</v>
      </c>
      <c r="F59" s="10" t="s">
        <v>782</v>
      </c>
      <c r="G59" s="10" t="s">
        <v>796</v>
      </c>
    </row>
    <row r="60" spans="5:7" ht="16" customHeight="1">
      <c r="E60" s="10" t="s">
        <v>787</v>
      </c>
      <c r="F60" s="10" t="s">
        <v>783</v>
      </c>
      <c r="G60" s="10" t="s">
        <v>797</v>
      </c>
    </row>
    <row r="61" spans="5:7" ht="16" customHeight="1">
      <c r="E61" s="10" t="s">
        <v>757</v>
      </c>
      <c r="F61" s="10" t="s">
        <v>784</v>
      </c>
      <c r="G61" s="10" t="s">
        <v>798</v>
      </c>
    </row>
    <row r="62" spans="5:7" ht="16" customHeight="1">
      <c r="E62" s="10" t="s">
        <v>758</v>
      </c>
      <c r="F62" s="10" t="s">
        <v>785</v>
      </c>
      <c r="G62" s="10" t="s">
        <v>799</v>
      </c>
    </row>
    <row r="63" spans="5:7" ht="16" customHeight="1">
      <c r="E63" s="10" t="s">
        <v>759</v>
      </c>
      <c r="F63" s="10" t="s">
        <v>786</v>
      </c>
      <c r="G63" s="10" t="s">
        <v>800</v>
      </c>
    </row>
  </sheetData>
  <mergeCells count="3">
    <mergeCell ref="B12:C12"/>
    <mergeCell ref="B13:C13"/>
    <mergeCell ref="B14:C14"/>
  </mergeCells>
  <phoneticPr fontId="13" type="noConversion"/>
  <pageMargins left="0.7" right="0.7" top="0.75" bottom="0.75" header="0.3" footer="0.3"/>
  <ignoredErrors>
    <ignoredError sqref="E12" numberStoredAsText="1"/>
  </ignoredError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R22"/>
  <sheetViews>
    <sheetView workbookViewId="0">
      <selection activeCell="F2" sqref="F2"/>
    </sheetView>
  </sheetViews>
  <sheetFormatPr defaultRowHeight="16" customHeight="1"/>
  <cols>
    <col min="1" max="1" width="18.36328125" style="40" bestFit="1" customWidth="1"/>
    <col min="2" max="2" width="8.90625" style="40" bestFit="1" customWidth="1"/>
    <col min="3" max="3" width="8.26953125" style="40" bestFit="1" customWidth="1"/>
    <col min="4" max="4" width="33" style="40" bestFit="1" customWidth="1"/>
    <col min="5" max="5" width="29" style="40" bestFit="1" customWidth="1"/>
    <col min="6" max="6" width="11.6328125" style="40" bestFit="1" customWidth="1"/>
    <col min="7" max="7" width="9.90625" style="40" bestFit="1" customWidth="1"/>
    <col min="8" max="8" width="4.7265625" style="40" bestFit="1" customWidth="1"/>
    <col min="9" max="9" width="14" style="40" bestFit="1" customWidth="1"/>
    <col min="10" max="10" width="11.7265625" style="40" bestFit="1" customWidth="1"/>
    <col min="11" max="11" width="17.453125" style="40" bestFit="1" customWidth="1"/>
    <col min="12" max="12" width="6.6328125" style="40" bestFit="1" customWidth="1"/>
    <col min="13" max="13" width="13.6328125" style="40" bestFit="1" customWidth="1"/>
    <col min="14" max="16384" width="8.7265625" style="40"/>
  </cols>
  <sheetData>
    <row r="1" spans="1:18" ht="16" customHeight="1" thickBot="1">
      <c r="A1" s="38" t="s">
        <v>88</v>
      </c>
      <c r="B1" s="39" t="s">
        <v>69</v>
      </c>
      <c r="C1" s="39" t="s">
        <v>71</v>
      </c>
      <c r="D1" s="39" t="s">
        <v>72</v>
      </c>
      <c r="E1" s="39" t="s">
        <v>89</v>
      </c>
      <c r="F1" s="39" t="s">
        <v>76</v>
      </c>
      <c r="G1" s="39" t="s">
        <v>78</v>
      </c>
      <c r="H1" s="39" t="s">
        <v>80</v>
      </c>
      <c r="I1" s="39" t="s">
        <v>90</v>
      </c>
      <c r="J1" s="39" t="s">
        <v>0</v>
      </c>
      <c r="K1" s="39" t="s">
        <v>91</v>
      </c>
      <c r="L1" s="39" t="s">
        <v>86</v>
      </c>
      <c r="M1" s="39" t="s">
        <v>87</v>
      </c>
    </row>
    <row r="2" spans="1:18" ht="16" customHeight="1">
      <c r="A2" s="328" t="s">
        <v>950</v>
      </c>
      <c r="B2" s="321" t="s">
        <v>936</v>
      </c>
      <c r="C2" s="321" t="s">
        <v>948</v>
      </c>
      <c r="D2" s="321" t="s">
        <v>951</v>
      </c>
      <c r="E2" s="321" t="s">
        <v>952</v>
      </c>
      <c r="F2" s="327" t="s">
        <v>953</v>
      </c>
      <c r="G2" s="327" t="s">
        <v>947</v>
      </c>
      <c r="H2" s="325" t="s">
        <v>954</v>
      </c>
      <c r="I2" s="325">
        <v>49230.7693</v>
      </c>
      <c r="J2" s="324">
        <v>64000000.090000004</v>
      </c>
      <c r="K2" s="326" t="s">
        <v>955</v>
      </c>
      <c r="L2" s="325" t="s">
        <v>954</v>
      </c>
      <c r="M2" s="322" t="s">
        <v>945</v>
      </c>
      <c r="N2" s="322"/>
      <c r="O2" s="322"/>
      <c r="P2" s="322"/>
      <c r="Q2" s="323"/>
      <c r="R2" s="323" t="s">
        <v>956</v>
      </c>
    </row>
    <row r="5" spans="1:18" ht="16" customHeight="1" thickBot="1">
      <c r="A5" s="319" t="s">
        <v>938</v>
      </c>
      <c r="B5" s="320" t="s">
        <v>939</v>
      </c>
      <c r="C5" s="320" t="s">
        <v>940</v>
      </c>
      <c r="D5" s="320" t="s">
        <v>941</v>
      </c>
      <c r="E5" s="320" t="s">
        <v>942</v>
      </c>
      <c r="F5" s="320" t="s">
        <v>943</v>
      </c>
      <c r="G5" s="320" t="s">
        <v>944</v>
      </c>
      <c r="H5" s="320" t="s">
        <v>945</v>
      </c>
      <c r="I5" s="320" t="s">
        <v>946</v>
      </c>
      <c r="J5" s="320" t="s">
        <v>947</v>
      </c>
      <c r="K5" s="320" t="s">
        <v>948</v>
      </c>
      <c r="L5" s="320" t="s">
        <v>949</v>
      </c>
    </row>
    <row r="6" spans="1:18" ht="16" customHeight="1">
      <c r="F6" s="309"/>
    </row>
    <row r="7" spans="1:18" ht="16" customHeight="1">
      <c r="F7" s="309"/>
    </row>
    <row r="8" spans="1:18" ht="16" customHeight="1">
      <c r="F8" s="309"/>
    </row>
    <row r="9" spans="1:18" ht="16" customHeight="1">
      <c r="F9" s="309"/>
    </row>
    <row r="10" spans="1:18" ht="16" customHeight="1">
      <c r="F10" s="309"/>
    </row>
    <row r="11" spans="1:18" ht="16" customHeight="1">
      <c r="F11" s="309"/>
    </row>
    <row r="12" spans="1:18" ht="16" customHeight="1">
      <c r="F12" s="309"/>
    </row>
    <row r="13" spans="1:18" ht="16" customHeight="1">
      <c r="F13" s="309"/>
    </row>
    <row r="14" spans="1:18" ht="16" customHeight="1">
      <c r="F14" s="309"/>
    </row>
    <row r="15" spans="1:18" ht="16" customHeight="1">
      <c r="F15" s="309"/>
    </row>
    <row r="16" spans="1:18" ht="16" customHeight="1">
      <c r="F16" s="309"/>
    </row>
    <row r="17" spans="6:6" ht="16" customHeight="1">
      <c r="F17" s="309"/>
    </row>
    <row r="18" spans="6:6" ht="16" customHeight="1">
      <c r="F18" s="309"/>
    </row>
    <row r="19" spans="6:6" ht="16" customHeight="1">
      <c r="F19" s="309"/>
    </row>
    <row r="20" spans="6:6" ht="16" customHeight="1">
      <c r="F20" s="309"/>
    </row>
    <row r="21" spans="6:6" ht="16" customHeight="1">
      <c r="F21" s="309"/>
    </row>
    <row r="22" spans="6:6" ht="16" customHeight="1">
      <c r="F22" s="309"/>
    </row>
  </sheetData>
  <phoneticPr fontId="13" type="noConversion"/>
  <pageMargins left="0.7" right="0.7" top="0.75" bottom="0.75" header="0.3" footer="0.3"/>
  <pageSetup paperSize="9" orientation="portrait" r:id="rId1"/>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F36"/>
  <sheetViews>
    <sheetView workbookViewId="0">
      <selection activeCell="B8" sqref="B8"/>
    </sheetView>
  </sheetViews>
  <sheetFormatPr defaultRowHeight="16" customHeight="1"/>
  <cols>
    <col min="1" max="1" width="15.26953125" style="1" customWidth="1"/>
    <col min="2" max="2" width="36.7265625" style="1" customWidth="1"/>
    <col min="3" max="3" width="8.7265625" style="1"/>
    <col min="4" max="4" width="66" style="1" customWidth="1"/>
    <col min="5" max="16384" width="8.7265625" style="1"/>
  </cols>
  <sheetData>
    <row r="1" spans="1:4" ht="16" customHeight="1">
      <c r="A1" s="3" t="s">
        <v>570</v>
      </c>
      <c r="D1" s="3" t="s">
        <v>584</v>
      </c>
    </row>
    <row r="2" spans="1:4" ht="16" customHeight="1">
      <c r="A2" s="139" t="s">
        <v>440</v>
      </c>
      <c r="B2" s="60" t="str">
        <f>'Deal info'!B8</f>
        <v>ETEVERS</v>
      </c>
      <c r="D2" s="1" t="s">
        <v>585</v>
      </c>
    </row>
    <row r="3" spans="1:4" ht="16" customHeight="1">
      <c r="A3" s="139" t="s">
        <v>68</v>
      </c>
      <c r="B3" s="60" t="str">
        <f>DI.ProjectName</f>
        <v>Cloudera infra support</v>
      </c>
      <c r="D3" s="1" t="s">
        <v>586</v>
      </c>
    </row>
    <row r="4" spans="1:4" ht="16" customHeight="1">
      <c r="A4" s="139" t="s">
        <v>571</v>
      </c>
      <c r="B4" s="60" t="str">
        <f>DI.OPPID</f>
        <v>OPE-0014158119</v>
      </c>
      <c r="D4" s="1" t="s">
        <v>587</v>
      </c>
    </row>
    <row r="5" spans="1:4" ht="16" customHeight="1">
      <c r="A5" s="139" t="s">
        <v>572</v>
      </c>
      <c r="B5" s="143">
        <f>DE.SUB_DATE</f>
        <v>44790</v>
      </c>
    </row>
    <row r="6" spans="1:4" ht="16" customHeight="1">
      <c r="A6" s="139" t="s">
        <v>573</v>
      </c>
      <c r="B6" s="60" t="str">
        <f>TEXT(SFDC.SOAR_DATE, "yyyy-mm-dd")</f>
        <v>2022-08-16</v>
      </c>
      <c r="D6" s="1" t="s">
        <v>588</v>
      </c>
    </row>
    <row r="7" spans="1:4" ht="16" customHeight="1">
      <c r="A7" s="139" t="s">
        <v>443</v>
      </c>
      <c r="B7" s="60" t="str">
        <f>DI.ClientPrincipal</f>
        <v>Lee, Jung Heui</v>
      </c>
      <c r="D7" s="1" t="s">
        <v>589</v>
      </c>
    </row>
    <row r="8" spans="1:4" ht="16" customHeight="1">
      <c r="A8" s="139" t="s">
        <v>536</v>
      </c>
      <c r="B8" s="60" t="str">
        <f>DI.ProjectManager</f>
        <v>Park, Shin Wook</v>
      </c>
    </row>
    <row r="9" spans="1:4" ht="16" customHeight="1">
      <c r="A9" s="139" t="s">
        <v>574</v>
      </c>
      <c r="B9" s="60" t="s">
        <v>575</v>
      </c>
      <c r="D9" s="1" t="s">
        <v>590</v>
      </c>
    </row>
    <row r="11" spans="1:4" ht="16" customHeight="1">
      <c r="A11" s="3" t="s">
        <v>565</v>
      </c>
    </row>
    <row r="12" spans="1:4" ht="16" customHeight="1">
      <c r="A12" s="139" t="s">
        <v>566</v>
      </c>
      <c r="B12" s="107" t="s">
        <v>576</v>
      </c>
      <c r="D12" s="153" t="s">
        <v>602</v>
      </c>
    </row>
    <row r="13" spans="1:4" ht="16" customHeight="1">
      <c r="A13" s="139" t="s">
        <v>578</v>
      </c>
      <c r="B13" s="107" t="s">
        <v>579</v>
      </c>
      <c r="D13" s="154"/>
    </row>
    <row r="14" spans="1:4" ht="16" customHeight="1">
      <c r="A14" s="139" t="s">
        <v>567</v>
      </c>
      <c r="B14" s="107" t="s">
        <v>577</v>
      </c>
      <c r="D14" s="154" t="s">
        <v>603</v>
      </c>
    </row>
    <row r="15" spans="1:4" ht="16" customHeight="1">
      <c r="A15" s="139" t="s">
        <v>568</v>
      </c>
      <c r="B15" s="141" t="s">
        <v>580</v>
      </c>
      <c r="D15" s="153" t="s">
        <v>604</v>
      </c>
    </row>
    <row r="16" spans="1:4" ht="16" customHeight="1">
      <c r="A16" s="139" t="s">
        <v>569</v>
      </c>
      <c r="B16" s="141" t="s">
        <v>581</v>
      </c>
      <c r="D16" s="154" t="s">
        <v>605</v>
      </c>
    </row>
    <row r="17" spans="1:6" ht="16" customHeight="1">
      <c r="D17" s="154"/>
    </row>
    <row r="18" spans="1:6" ht="16" customHeight="1">
      <c r="A18" s="3"/>
      <c r="D18" s="155" t="s">
        <v>606</v>
      </c>
    </row>
    <row r="19" spans="1:6" ht="16" customHeight="1">
      <c r="D19" s="155" t="s">
        <v>607</v>
      </c>
    </row>
    <row r="20" spans="1:6" ht="16" customHeight="1">
      <c r="D20" s="155" t="s">
        <v>608</v>
      </c>
    </row>
    <row r="21" spans="1:6" ht="16" customHeight="1">
      <c r="D21" s="156" t="s">
        <v>609</v>
      </c>
    </row>
    <row r="22" spans="1:6" ht="16" customHeight="1">
      <c r="D22" s="156" t="s">
        <v>610</v>
      </c>
    </row>
    <row r="23" spans="1:6" ht="16" customHeight="1">
      <c r="D23" s="156" t="s">
        <v>611</v>
      </c>
    </row>
    <row r="24" spans="1:6" ht="16" customHeight="1">
      <c r="D24" s="156" t="s">
        <v>612</v>
      </c>
    </row>
    <row r="25" spans="1:6" ht="16" customHeight="1">
      <c r="D25" s="154"/>
    </row>
    <row r="26" spans="1:6" ht="16" customHeight="1">
      <c r="D26" s="154" t="s">
        <v>613</v>
      </c>
    </row>
    <row r="27" spans="1:6" ht="16" customHeight="1">
      <c r="D27" s="154" t="s">
        <v>614</v>
      </c>
    </row>
    <row r="28" spans="1:6" ht="16" customHeight="1">
      <c r="D28" s="154"/>
    </row>
    <row r="29" spans="1:6" ht="16" customHeight="1">
      <c r="D29" s="156" t="s">
        <v>615</v>
      </c>
    </row>
    <row r="30" spans="1:6" ht="16" customHeight="1">
      <c r="D30" s="156" t="s">
        <v>616</v>
      </c>
    </row>
    <row r="31" spans="1:6" ht="16" customHeight="1">
      <c r="D31" s="154"/>
      <c r="F31" s="1" t="s">
        <v>910</v>
      </c>
    </row>
    <row r="32" spans="1:6" ht="16" customHeight="1">
      <c r="D32" s="153" t="s">
        <v>617</v>
      </c>
    </row>
    <row r="33" spans="4:4" ht="16" customHeight="1">
      <c r="D33" s="153" t="s">
        <v>618</v>
      </c>
    </row>
    <row r="34" spans="4:4" ht="16" customHeight="1">
      <c r="D34" s="154"/>
    </row>
    <row r="35" spans="4:4" ht="16" customHeight="1">
      <c r="D35" s="153" t="s">
        <v>619</v>
      </c>
    </row>
    <row r="36" spans="4:4" ht="16" customHeight="1">
      <c r="D36" s="154"/>
    </row>
  </sheetData>
  <phoneticPr fontId="1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9393" r:id="rId4" name="Button 1">
              <controlPr defaultSize="0" print="0" autoFill="0" autoPict="0" macro="[0]!write_mail_for_FO">
                <anchor moveWithCells="1" sizeWithCells="1">
                  <from>
                    <xdr:col>1</xdr:col>
                    <xdr:colOff>889000</xdr:colOff>
                    <xdr:row>9</xdr:row>
                    <xdr:rowOff>107950</xdr:rowOff>
                  </from>
                  <to>
                    <xdr:col>1</xdr:col>
                    <xdr:colOff>2508250</xdr:colOff>
                    <xdr:row>10</xdr:row>
                    <xdr:rowOff>152400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24</vt:i4>
      </vt:variant>
      <vt:variant>
        <vt:lpstr>Named Ranges</vt:lpstr>
      </vt:variant>
      <vt:variant>
        <vt:i4>176</vt:i4>
      </vt:variant>
    </vt:vector>
  </HeadingPairs>
  <TitlesOfParts>
    <vt:vector size="200" baseType="lpstr">
      <vt:lpstr>Policy</vt:lpstr>
      <vt:lpstr>Deal info</vt:lpstr>
      <vt:lpstr>Cost simulation</vt:lpstr>
      <vt:lpstr>Resouces</vt:lpstr>
      <vt:lpstr>E3T Check</vt:lpstr>
      <vt:lpstr>SFDC</vt:lpstr>
      <vt:lpstr>SOW</vt:lpstr>
      <vt:lpstr>Risk Log</vt:lpstr>
      <vt:lpstr>DA briefing</vt:lpstr>
      <vt:lpstr>DO</vt:lpstr>
      <vt:lpstr>SA</vt:lpstr>
      <vt:lpstr>Deal eng.</vt:lpstr>
      <vt:lpstr>GN</vt:lpstr>
      <vt:lpstr>NSP</vt:lpstr>
      <vt:lpstr>SUM</vt:lpstr>
      <vt:lpstr>FLGM Jf</vt:lpstr>
      <vt:lpstr>PCS upload</vt:lpstr>
      <vt:lpstr>||</vt:lpstr>
      <vt:lpstr>Contract</vt:lpstr>
      <vt:lpstr>3M</vt:lpstr>
      <vt:lpstr>|||</vt:lpstr>
      <vt:lpstr>Meta data</vt:lpstr>
      <vt:lpstr>PCS Mail</vt:lpstr>
      <vt:lpstr>Mail</vt:lpstr>
      <vt:lpstr>APEID</vt:lpstr>
      <vt:lpstr>DA.Assumption</vt:lpstr>
      <vt:lpstr>DA.Requirement</vt:lpstr>
      <vt:lpstr>DE.GTM</vt:lpstr>
      <vt:lpstr>DE.SUB_DATE</vt:lpstr>
      <vt:lpstr>DENG.BACKGROUND</vt:lpstr>
      <vt:lpstr>DI.Assumption</vt:lpstr>
      <vt:lpstr>DI.ClientPrincipal</vt:lpstr>
      <vt:lpstr>DI.Customer</vt:lpstr>
      <vt:lpstr>DI.E3TDuration</vt:lpstr>
      <vt:lpstr>DI.ECO</vt:lpstr>
      <vt:lpstr>DI.EID</vt:lpstr>
      <vt:lpstr>DI.EndDate</vt:lpstr>
      <vt:lpstr>DI.FinanceLead</vt:lpstr>
      <vt:lpstr>DI.LOB</vt:lpstr>
      <vt:lpstr>DI.OPPID</vt:lpstr>
      <vt:lpstr>DI.PL</vt:lpstr>
      <vt:lpstr>DI.PreparedBy</vt:lpstr>
      <vt:lpstr>DI.ProjectDuration</vt:lpstr>
      <vt:lpstr>DI.ProjectManager</vt:lpstr>
      <vt:lpstr>DI.ProjectName</vt:lpstr>
      <vt:lpstr>DI.REQUIREMENT</vt:lpstr>
      <vt:lpstr>DI.SalesManager</vt:lpstr>
      <vt:lpstr>DI.StartDate</vt:lpstr>
      <vt:lpstr>DI_FPSOW_TotalCost</vt:lpstr>
      <vt:lpstr>DI_HPLabor_TotalCost</vt:lpstr>
      <vt:lpstr>DI_Travel_TotalCost</vt:lpstr>
      <vt:lpstr>DO.Assumption</vt:lpstr>
      <vt:lpstr>DO.OnsiteHours</vt:lpstr>
      <vt:lpstr>DO.Requirement</vt:lpstr>
      <vt:lpstr>DO.ResourcesDescription</vt:lpstr>
      <vt:lpstr>DO.Schedule</vt:lpstr>
      <vt:lpstr>DO.Scope</vt:lpstr>
      <vt:lpstr>DO.Solution</vt:lpstr>
      <vt:lpstr>DO.Workscope</vt:lpstr>
      <vt:lpstr>E3T.3P_RATE</vt:lpstr>
      <vt:lpstr>E3T.3PPDT_RATE</vt:lpstr>
      <vt:lpstr>E3T.3PPDTREV</vt:lpstr>
      <vt:lpstr>E3T.3PPDTREV_USD</vt:lpstr>
      <vt:lpstr>E3T.3PREV</vt:lpstr>
      <vt:lpstr>E3T.3PREV_USD</vt:lpstr>
      <vt:lpstr>E3T.3PSVC_RATE</vt:lpstr>
      <vt:lpstr>E3T.3PSVCREV</vt:lpstr>
      <vt:lpstr>E3T.3PSVCREV_USD</vt:lpstr>
      <vt:lpstr>E3T.EGM</vt:lpstr>
      <vt:lpstr>E3T.EXCHG_RATE</vt:lpstr>
      <vt:lpstr>E3T.FLGM</vt:lpstr>
      <vt:lpstr>E3T.HPE_RATE</vt:lpstr>
      <vt:lpstr>E3T.HPEREV</vt:lpstr>
      <vt:lpstr>E3T.HPEREV_USD</vt:lpstr>
      <vt:lpstr>E3T.RISK_KRW</vt:lpstr>
      <vt:lpstr>E3T.RISK_RATE</vt:lpstr>
      <vt:lpstr>E3T.RISK_USD</vt:lpstr>
      <vt:lpstr>E3T.TCV</vt:lpstr>
      <vt:lpstr>E3T.TCV_USD</vt:lpstr>
      <vt:lpstr>E3T.TCV_USDK</vt:lpstr>
      <vt:lpstr>E3T.TOTALCOST</vt:lpstr>
      <vt:lpstr>E3T.TOTALCOST_USD</vt:lpstr>
      <vt:lpstr>EXCHG_RATE</vt:lpstr>
      <vt:lpstr>EXP_COST</vt:lpstr>
      <vt:lpstr>FLGM</vt:lpstr>
      <vt:lpstr>FLGM_STD</vt:lpstr>
      <vt:lpstr>HPEAhours1</vt:lpstr>
      <vt:lpstr>HPEAhours2</vt:lpstr>
      <vt:lpstr>HPEAhours3</vt:lpstr>
      <vt:lpstr>HPEAhours4</vt:lpstr>
      <vt:lpstr>HPEAhours5</vt:lpstr>
      <vt:lpstr>HPEAremarks1</vt:lpstr>
      <vt:lpstr>HPEAremarks2</vt:lpstr>
      <vt:lpstr>HPEAremarks3</vt:lpstr>
      <vt:lpstr>HPEAremarks4</vt:lpstr>
      <vt:lpstr>HPEAremarks5</vt:lpstr>
      <vt:lpstr>HPEAType1</vt:lpstr>
      <vt:lpstr>HPEAType2</vt:lpstr>
      <vt:lpstr>HPEAType3</vt:lpstr>
      <vt:lpstr>HPEAType4</vt:lpstr>
      <vt:lpstr>HPEAType5</vt:lpstr>
      <vt:lpstr>HPETCV_USD</vt:lpstr>
      <vt:lpstr>HPEThours1</vt:lpstr>
      <vt:lpstr>HPEThours2</vt:lpstr>
      <vt:lpstr>HPEThours3</vt:lpstr>
      <vt:lpstr>HPEThours4</vt:lpstr>
      <vt:lpstr>HPETremarks1</vt:lpstr>
      <vt:lpstr>HPETremarks2</vt:lpstr>
      <vt:lpstr>HPETremarks3</vt:lpstr>
      <vt:lpstr>HPETremarks4</vt:lpstr>
      <vt:lpstr>HPETType1</vt:lpstr>
      <vt:lpstr>HPETType2</vt:lpstr>
      <vt:lpstr>HPETType3</vt:lpstr>
      <vt:lpstr>HPETType4</vt:lpstr>
      <vt:lpstr>NSP.13Category</vt:lpstr>
      <vt:lpstr>NSP.13Description</vt:lpstr>
      <vt:lpstr>NSP.13Justification</vt:lpstr>
      <vt:lpstr>NSP.13YN</vt:lpstr>
      <vt:lpstr>NSP.14ACategory</vt:lpstr>
      <vt:lpstr>NSP.14ADescription</vt:lpstr>
      <vt:lpstr>NSP.14AJustification</vt:lpstr>
      <vt:lpstr>NSP.14AYN</vt:lpstr>
      <vt:lpstr>NSP.14BCategory</vt:lpstr>
      <vt:lpstr>NSP.14BDescription</vt:lpstr>
      <vt:lpstr>NSP.14BJustification</vt:lpstr>
      <vt:lpstr>NSP.14BYN</vt:lpstr>
      <vt:lpstr>NSP.16Category</vt:lpstr>
      <vt:lpstr>NSP.16Description</vt:lpstr>
      <vt:lpstr>NSP.16Justification</vt:lpstr>
      <vt:lpstr>NSP.16YN</vt:lpstr>
      <vt:lpstr>NSP.17Category</vt:lpstr>
      <vt:lpstr>NSP.17Description</vt:lpstr>
      <vt:lpstr>NSP.17Justification</vt:lpstr>
      <vt:lpstr>NSP.17YN</vt:lpstr>
      <vt:lpstr>NSP.18YN</vt:lpstr>
      <vt:lpstr>NSP.21Category</vt:lpstr>
      <vt:lpstr>NSP.21Description</vt:lpstr>
      <vt:lpstr>NSP.21Justification</vt:lpstr>
      <vt:lpstr>NSP.21YN</vt:lpstr>
      <vt:lpstr>NSP.26Category</vt:lpstr>
      <vt:lpstr>NSP.26Description</vt:lpstr>
      <vt:lpstr>NSP.26Justification</vt:lpstr>
      <vt:lpstr>NSP.26YN</vt:lpstr>
      <vt:lpstr>NSP.28Category</vt:lpstr>
      <vt:lpstr>NSP.28Description</vt:lpstr>
      <vt:lpstr>NSP.28Justification</vt:lpstr>
      <vt:lpstr>NSP.28YN</vt:lpstr>
      <vt:lpstr>NSP.32Category</vt:lpstr>
      <vt:lpstr>NSP.32Description</vt:lpstr>
      <vt:lpstr>NSP.32Justification</vt:lpstr>
      <vt:lpstr>NSP.32YN</vt:lpstr>
      <vt:lpstr>NSP.6Category</vt:lpstr>
      <vt:lpstr>NSP.6Description</vt:lpstr>
      <vt:lpstr>NSP.6Justification</vt:lpstr>
      <vt:lpstr>NSP.6YN</vt:lpstr>
      <vt:lpstr>NSP.7Category</vt:lpstr>
      <vt:lpstr>NSP.7Description</vt:lpstr>
      <vt:lpstr>NSP.7Justification</vt:lpstr>
      <vt:lpstr>NSP.7YN</vt:lpstr>
      <vt:lpstr>NSP.ContractType</vt:lpstr>
      <vt:lpstr>NSP.DealDescription</vt:lpstr>
      <vt:lpstr>PDT_COST</vt:lpstr>
      <vt:lpstr>PDT_EGM</vt:lpstr>
      <vt:lpstr>PL_LIST</vt:lpstr>
      <vt:lpstr>RISK_RATE</vt:lpstr>
      <vt:lpstr>RISK_USD</vt:lpstr>
      <vt:lpstr>SA.3PCapabilityIssue</vt:lpstr>
      <vt:lpstr>SA.3PCapabilityResponse</vt:lpstr>
      <vt:lpstr>SA.3PResponsibilityIssue</vt:lpstr>
      <vt:lpstr>SA.3PResponsibilityResponse</vt:lpstr>
      <vt:lpstr>SA.3PSolutionIssue</vt:lpstr>
      <vt:lpstr>SA.3PSolutionResponse</vt:lpstr>
      <vt:lpstr>SA.ArchitectureIssue</vt:lpstr>
      <vt:lpstr>SA.ArchitectureResponse</vt:lpstr>
      <vt:lpstr>SA.Customer</vt:lpstr>
      <vt:lpstr>SA.EID</vt:lpstr>
      <vt:lpstr>SA.InterfaceIssue</vt:lpstr>
      <vt:lpstr>SA.InterfaceResponse</vt:lpstr>
      <vt:lpstr>SA.PerformanceIssue</vt:lpstr>
      <vt:lpstr>SA.PerformanceResponse</vt:lpstr>
      <vt:lpstr>SA.Reviewer</vt:lpstr>
      <vt:lpstr>SA.ScheduleIssue</vt:lpstr>
      <vt:lpstr>SA.ScheduleResponse</vt:lpstr>
      <vt:lpstr>SA.ScopeIssue</vt:lpstr>
      <vt:lpstr>SA.ScopeResponse</vt:lpstr>
      <vt:lpstr>SA.SolutionIssue</vt:lpstr>
      <vt:lpstr>SA.SolutionResponse</vt:lpstr>
      <vt:lpstr>SA.WR_DATE</vt:lpstr>
      <vt:lpstr>SFDC.BILL_MODEL</vt:lpstr>
      <vt:lpstr>SFDC.SOAR_DATE</vt:lpstr>
      <vt:lpstr>SFDC.SOAR_TYPE</vt:lpstr>
      <vt:lpstr>SVC_COST</vt:lpstr>
      <vt:lpstr>SVC_EGM</vt:lpstr>
      <vt:lpstr>TCV_USD</vt:lpstr>
      <vt:lpstr>THPTCV_USD</vt:lpstr>
      <vt:lpstr>THSTCV_USD</vt:lpstr>
      <vt:lpstr>TOTALCOST_USD</vt:lpstr>
      <vt:lpstr>UTIL_HOURS</vt:lpstr>
      <vt:lpstr>UTIL_STD</vt:lpstr>
      <vt:lpstr>UTIL_TABLE</vt:lpstr>
    </vt:vector>
  </TitlesOfParts>
  <Company>Hewlett Packard</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Il Her</dc:creator>
  <cp:lastModifiedBy>Il Her</cp:lastModifiedBy>
  <cp:lastPrinted>2022-08-05T08:39:52Z</cp:lastPrinted>
  <dcterms:created xsi:type="dcterms:W3CDTF">2022-01-20T07:52:31Z</dcterms:created>
  <dcterms:modified xsi:type="dcterms:W3CDTF">2022-09-22T08:50:35Z</dcterms:modified>
</cp:coreProperties>
</file>